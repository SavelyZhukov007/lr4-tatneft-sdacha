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ns0:workbook xmlns:ns0="http://schemas.openxmlformats.org/spreadsheetml/2006/main" xmlns:ns1="http://schemas.openxmlformats.org/officeDocument/2006/relationships">
  <ns0:workbookPr/>
  <ns0:bookViews>
    <ns0:workbookView visibility="visible" minimized="0" showHorizontalScroll="1" showVerticalScroll="1" showSheetTabs="1" xWindow="0" yWindow="0" windowWidth="28800" windowHeight="12435" tabRatio="600" firstSheet="1" activeTab="6" autoFilterDateGrouping="1"/>
  </ns0:bookViews>
  <ns0:sheets>
    <ns0:sheet name="1 Исходные данные" sheetId="1" state="visible" ns1:id="rId1"/>
    <ns0:sheet name="2 Горизонтальный" sheetId="2" state="visible" ns1:id="rId2"/>
    <ns0:sheet name="3 Вертикальный" sheetId="3" state="visible" ns1:id="rId3"/>
    <ns0:sheet name="4 Маржинальность" sheetId="4" state="visible" ns1:id="rId4"/>
    <ns0:sheet name="5 Факторный" sheetId="5" state="visible" ns1:id="rId5"/>
    <ns0:sheet name="6 Качество прибыли" sheetId="6" state="visible" ns1:id="rId6"/>
    <ns0:sheet name="8 Проверка ИИ" sheetId="7" state="visible" ns1:id="rId7"/>
    <ns0:sheet name="9 Сценарный анализ" sheetId="8" state="visible" ns1:id="rId8"/>
  </ns0:sheets>
  <ns0:definedNames/>
  <ns0:calcPr calcId="152511" calcMode="auto" fullCalcOnLoad="1"/>
</ns0:workbook>
</file>

<file path=xl/styles.xml><?xml version="1.0" encoding="utf-8"?>
<styleSheet xmlns="http://schemas.openxmlformats.org/spreadsheetml/2006/main">
  <numFmts count="8">
    <numFmt numFmtId="164" formatCode="#,##0.000;[Red]#,##0.000"/>
    <numFmt numFmtId="165" formatCode="#,##0.000;[Red]\(#,##0.000\);\–"/>
    <numFmt numFmtId="166" formatCode="0.0&quot;%&quot;;[Red]\(0.0&quot;%&quot;\);\–"/>
    <numFmt numFmtId="167" formatCode="0.0&quot;%&quot;"/>
    <numFmt numFmtId="168" formatCode="_-* #,##0.00\ _₽_-;\-* #,##0.00\ _₽_-;_-* &quot;-&quot;??\ _₽_-;_-@_-"/>
    <numFmt numFmtId="169" formatCode="#,##0.000;[Red]\(#,##0.000\);&quot;-&quot;"/>
    <numFmt numFmtId="170" formatCode="#,##0;[Red]#,##0"/>
    <numFmt numFmtId="171" formatCode="0.0"/>
  </numFmts>
  <fonts count="11">
    <font>
      <name val="Carlito"/>
      <sz val="11"/>
    </font>
    <font>
      <name val="Carlito"/>
      <charset val="204"/>
      <family val="2"/>
      <b val="1"/>
      <color rgb="FFFFFFFF"/>
      <sz val="13"/>
    </font>
    <font>
      <name val="Carlito"/>
      <charset val="204"/>
      <family val="2"/>
      <b val="1"/>
      <color rgb="FF111111"/>
      <sz val="11"/>
    </font>
    <font>
      <name val="Carlito"/>
      <charset val="204"/>
      <family val="2"/>
      <b val="1"/>
      <color rgb="FFFFFFFF"/>
      <sz val="11"/>
    </font>
    <font>
      <name val="Carlito"/>
      <charset val="204"/>
      <family val="2"/>
      <sz val="11"/>
    </font>
    <font>
      <name val="Carlito"/>
      <charset val="204"/>
      <family val="2"/>
      <sz val="11"/>
    </font>
    <font>
      <name val="Carlito"/>
      <charset val="204"/>
      <family val="2"/>
      <b val="1"/>
      <color rgb="FF111111"/>
      <sz val="11"/>
    </font>
    <font>
      <name val="Carlito"/>
      <charset val="204"/>
      <family val="2"/>
      <b val="1"/>
      <sz val="11"/>
    </font>
    <font>
      <name val="Carlito"/>
      <b val="1"/>
      <color rgb="00111111"/>
      <sz val="11"/>
    </font>
    <font>
      <name val="Carlito"/>
      <color rgb="00111111"/>
      <sz val="11"/>
    </font>
    <font>
      <name val="Carlito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FFB3A2C7"/>
      </patternFill>
    </fill>
    <fill>
      <patternFill patternType="solid">
        <fgColor rgb="FFE6E0EC"/>
      </patternFill>
    </fill>
    <fill>
      <patternFill patternType="solid">
        <fgColor rgb="FFB3A1C6"/>
      </patternFill>
    </fill>
    <fill>
      <patternFill patternType="solid">
        <fgColor rgb="FFE6DFEA"/>
      </patternFill>
    </fill>
    <fill>
      <patternFill patternType="solid">
        <fgColor rgb="FFF4F0F7"/>
      </patternFill>
    </fill>
    <fill>
      <patternFill patternType="solid">
        <fgColor rgb="FFFFFFFF"/>
      </patternFill>
    </fill>
    <fill>
      <patternFill patternType="solid">
        <fgColor rgb="00B3A2C7"/>
      </patternFill>
    </fill>
    <fill>
      <patternFill patternType="solid">
        <fgColor rgb="00FFFFFF"/>
      </patternFill>
    </fill>
    <fill>
      <patternFill patternType="solid">
        <fgColor rgb="00B3A1C6"/>
      </patternFill>
    </fill>
    <fill>
      <patternFill patternType="solid">
        <fgColor rgb="00E6E0EC"/>
      </patternFill>
    </fill>
    <fill>
      <patternFill patternType="solid">
        <fgColor rgb="00E6DFEA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2"/>
    <xf numFmtId="0" fontId="5" fillId="0" borderId="2"/>
    <xf numFmtId="43" fontId="5" fillId="0" borderId="2"/>
    <xf numFmtId="0" fontId="5" fillId="0" borderId="2"/>
    <xf numFmtId="0" fontId="5" fillId="0" borderId="2"/>
  </cellStyleXfs>
  <cellXfs count="107">
    <xf numFmtId="0" fontId="0" fillId="0" borderId="0" pivotButton="0" quotePrefix="0" xfId="0"/>
    <xf numFmtId="0" fontId="0" fillId="0" borderId="0" applyAlignment="1" pivotButton="0" quotePrefix="0" xfId="1">
      <alignment vertical="center"/>
    </xf>
    <xf numFmtId="0" fontId="0" fillId="0" borderId="0" applyAlignment="1" pivotButton="0" quotePrefix="0" xfId="1">
      <alignment vertical="center" wrapText="1"/>
    </xf>
    <xf numFmtId="164" fontId="0" fillId="0" borderId="0" applyAlignment="1" pivotButton="0" quotePrefix="0" xfId="1">
      <alignment vertical="center" wrapText="1"/>
    </xf>
    <xf numFmtId="0" fontId="0" fillId="0" borderId="1" applyAlignment="1" pivotButton="0" quotePrefix="0" xfId="1">
      <alignment vertical="center" wrapText="1"/>
    </xf>
    <xf numFmtId="0" fontId="2" fillId="2" borderId="1" applyAlignment="1" pivotButton="0" quotePrefix="0" xfId="1">
      <alignment vertical="center" wrapText="1"/>
    </xf>
    <xf numFmtId="0" fontId="0" fillId="3" borderId="1" applyAlignment="1" pivotButton="0" quotePrefix="0" xfId="1">
      <alignment vertical="center" wrapText="1"/>
    </xf>
    <xf numFmtId="165" fontId="0" fillId="3" borderId="1" applyAlignment="1" pivotButton="0" quotePrefix="0" xfId="1">
      <alignment vertical="center" wrapText="1"/>
    </xf>
    <xf numFmtId="2" fontId="0" fillId="3" borderId="1" applyAlignment="1" pivotButton="0" quotePrefix="0" xfId="1">
      <alignment vertical="center" wrapText="1"/>
    </xf>
    <xf numFmtId="166" fontId="0" fillId="3" borderId="1" applyAlignment="1" pivotButton="0" quotePrefix="0" xfId="1">
      <alignment vertical="center" wrapText="1"/>
    </xf>
    <xf numFmtId="165" fontId="0" fillId="0" borderId="1" applyAlignment="1" pivotButton="0" quotePrefix="0" xfId="1">
      <alignment vertical="center" wrapText="1"/>
    </xf>
    <xf numFmtId="2" fontId="0" fillId="0" borderId="1" applyAlignment="1" pivotButton="0" quotePrefix="0" xfId="1">
      <alignment vertical="center" wrapText="1"/>
    </xf>
    <xf numFmtId="166" fontId="0" fillId="0" borderId="1" applyAlignment="1" pivotButton="0" quotePrefix="0" xfId="1">
      <alignment vertical="center" wrapText="1"/>
    </xf>
    <xf numFmtId="165" fontId="5" fillId="0" borderId="1" applyAlignment="1" pivotButton="0" quotePrefix="0" xfId="1">
      <alignment vertical="center" wrapText="1"/>
    </xf>
    <xf numFmtId="165" fontId="5" fillId="3" borderId="1" applyAlignment="1" pivotButton="0" quotePrefix="0" xfId="1">
      <alignment vertical="center" wrapText="1"/>
    </xf>
    <xf numFmtId="0" fontId="5" fillId="0" borderId="1" applyAlignment="1" pivotButton="0" quotePrefix="0" xfId="1">
      <alignment vertical="center" wrapText="1"/>
    </xf>
    <xf numFmtId="0" fontId="5" fillId="3" borderId="1" applyAlignment="1" pivotButton="0" quotePrefix="0" xfId="1">
      <alignment vertical="center" wrapText="1"/>
    </xf>
    <xf numFmtId="0" fontId="6" fillId="2" borderId="1" applyAlignment="1" pivotButton="0" quotePrefix="0" xfId="1">
      <alignment vertical="center" wrapText="1"/>
    </xf>
    <xf numFmtId="167" fontId="0" fillId="0" borderId="1" applyAlignment="1" pivotButton="0" quotePrefix="0" xfId="1">
      <alignment vertical="center" wrapText="1"/>
    </xf>
    <xf numFmtId="167" fontId="0" fillId="3" borderId="1" applyAlignment="1" pivotButton="0" quotePrefix="0" xfId="1">
      <alignment vertical="center" wrapText="1"/>
    </xf>
    <xf numFmtId="168" fontId="0" fillId="0" borderId="1" applyAlignment="1" pivotButton="0" quotePrefix="0" xfId="2">
      <alignment vertical="center" wrapText="1"/>
    </xf>
    <xf numFmtId="168" fontId="0" fillId="3" borderId="1" applyAlignment="1" pivotButton="0" quotePrefix="0" xfId="2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168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165" fontId="0" fillId="5" borderId="1" applyAlignment="1" pivotButton="0" quotePrefix="0" xfId="0">
      <alignment vertical="center" wrapText="1"/>
    </xf>
    <xf numFmtId="168" fontId="0" fillId="5" borderId="1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9" fontId="0" fillId="7" borderId="1" applyAlignment="1" pivotButton="0" quotePrefix="0" xfId="0">
      <alignment vertical="center" wrapText="1"/>
    </xf>
    <xf numFmtId="165" fontId="0" fillId="7" borderId="1" applyAlignment="1" pivotButton="0" quotePrefix="0" xfId="0">
      <alignment vertical="center" wrapText="1"/>
    </xf>
    <xf numFmtId="169" fontId="0" fillId="5" borderId="1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170" fontId="0" fillId="7" borderId="1" applyAlignment="1" pivotButton="0" quotePrefix="0" xfId="0">
      <alignment vertical="center" wrapText="1"/>
    </xf>
    <xf numFmtId="170" fontId="0" fillId="5" borderId="1" applyAlignment="1" pivotButton="0" quotePrefix="0" xfId="0">
      <alignment vertical="center" wrapText="1"/>
    </xf>
    <xf numFmtId="0" fontId="1" fillId="2" borderId="0" applyAlignment="1" pivotButton="0" quotePrefix="0" xfId="1">
      <alignment vertical="center"/>
    </xf>
    <xf numFmtId="0" fontId="3" fillId="2" borderId="1" applyAlignment="1" pivotButton="0" quotePrefix="0" xfId="1">
      <alignment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165" fontId="4" fillId="5" borderId="1" applyAlignment="1" pivotButton="0" quotePrefix="0" xfId="0">
      <alignment vertical="center" wrapText="1"/>
    </xf>
    <xf numFmtId="2" fontId="0" fillId="5" borderId="0" applyAlignment="1" pivotButton="0" quotePrefix="0" xfId="0">
      <alignment vertical="center" wrapText="1"/>
    </xf>
    <xf numFmtId="2" fontId="0" fillId="0" borderId="0" applyAlignment="1" pivotButton="0" quotePrefix="0" xfId="0">
      <alignment vertical="center" wrapText="1"/>
    </xf>
    <xf numFmtId="9" fontId="7" fillId="6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1" fillId="4" borderId="2" applyAlignment="1" pivotButton="0" quotePrefix="0" xfId="3">
      <alignment vertical="center"/>
    </xf>
    <xf numFmtId="0" fontId="1" fillId="2" borderId="2" applyAlignment="1" pivotButton="0" quotePrefix="0" xfId="4">
      <alignment vertical="center"/>
    </xf>
    <xf numFmtId="0" fontId="4" fillId="0" borderId="2" pivotButton="0" quotePrefix="0" xfId="3"/>
    <xf numFmtId="0" fontId="4" fillId="0" borderId="2" applyAlignment="1" pivotButton="0" quotePrefix="0" xfId="3">
      <alignment vertical="center" wrapText="1"/>
    </xf>
    <xf numFmtId="0" fontId="0" fillId="0" borderId="2" applyAlignment="1" pivotButton="0" quotePrefix="0" xfId="4">
      <alignment vertical="center"/>
    </xf>
    <xf numFmtId="0" fontId="2" fillId="2" borderId="2" applyAlignment="1" pivotButton="0" quotePrefix="0" xfId="3">
      <alignment vertical="center" wrapText="1"/>
    </xf>
    <xf numFmtId="0" fontId="4" fillId="5" borderId="2" applyAlignment="1" pivotButton="0" quotePrefix="0" xfId="3">
      <alignment vertical="center" wrapText="1"/>
    </xf>
    <xf numFmtId="169" fontId="4" fillId="5" borderId="2" applyAlignment="1" pivotButton="0" quotePrefix="0" xfId="3">
      <alignment vertical="center" wrapText="1"/>
    </xf>
    <xf numFmtId="0" fontId="0" fillId="0" borderId="2" applyAlignment="1" pivotButton="0" quotePrefix="0" xfId="4">
      <alignment vertical="center" wrapText="1"/>
    </xf>
    <xf numFmtId="169" fontId="4" fillId="0" borderId="2" applyAlignment="1" pivotButton="0" quotePrefix="0" xfId="3">
      <alignment vertical="center" wrapText="1"/>
    </xf>
    <xf numFmtId="0" fontId="7" fillId="4" borderId="2" applyAlignment="1" pivotButton="0" quotePrefix="0" xfId="3">
      <alignment vertical="center" wrapText="1"/>
    </xf>
    <xf numFmtId="0" fontId="1" fillId="2" borderId="2" applyAlignment="1" pivotButton="0" quotePrefix="0" xfId="1">
      <alignment vertical="center"/>
    </xf>
    <xf numFmtId="0" fontId="8" fillId="8" borderId="2" applyAlignment="1" pivotButton="0" quotePrefix="0" xfId="1">
      <alignment horizontal="left" vertical="center" wrapText="1"/>
    </xf>
    <xf numFmtId="165" fontId="5" fillId="0" borderId="1" applyAlignment="1" pivotButton="0" quotePrefix="0" xfId="1">
      <alignment vertical="center" wrapText="1"/>
    </xf>
    <xf numFmtId="165" fontId="0" fillId="0" borderId="1" applyAlignment="1" pivotButton="0" quotePrefix="0" xfId="1">
      <alignment vertical="center" wrapText="1"/>
    </xf>
    <xf numFmtId="165" fontId="5" fillId="3" borderId="1" applyAlignment="1" pivotButton="0" quotePrefix="0" xfId="1">
      <alignment vertical="center" wrapText="1"/>
    </xf>
    <xf numFmtId="165" fontId="0" fillId="3" borderId="1" applyAlignment="1" pivotButton="0" quotePrefix="0" xfId="1">
      <alignment vertical="center" wrapText="1"/>
    </xf>
    <xf numFmtId="0" fontId="0" fillId="0" borderId="5" pivotButton="0" quotePrefix="0" xfId="0"/>
    <xf numFmtId="0" fontId="0" fillId="0" borderId="6" pivotButton="0" quotePrefix="0" xfId="0"/>
    <xf numFmtId="165" fontId="4" fillId="5" borderId="1" applyAlignment="1" pivotButton="0" quotePrefix="0" xfId="0">
      <alignment vertical="center" wrapText="1"/>
    </xf>
    <xf numFmtId="165" fontId="0" fillId="7" borderId="1" applyAlignment="1" pivotButton="0" quotePrefix="0" xfId="0">
      <alignment vertical="center" wrapText="1"/>
    </xf>
    <xf numFmtId="165" fontId="0" fillId="5" borderId="1" applyAlignment="1" pivotButton="0" quotePrefix="0" xfId="0">
      <alignment vertical="center" wrapText="1"/>
    </xf>
    <xf numFmtId="170" fontId="0" fillId="7" borderId="1" applyAlignment="1" pivotButton="0" quotePrefix="0" xfId="0">
      <alignment vertical="center" wrapText="1"/>
    </xf>
    <xf numFmtId="170" fontId="0" fillId="5" borderId="1" applyAlignment="1" pivotButton="0" quotePrefix="0" xfId="0">
      <alignment vertical="center" wrapText="1"/>
    </xf>
    <xf numFmtId="0" fontId="9" fillId="9" borderId="0" applyAlignment="1" pivotButton="0" quotePrefix="0" xfId="1">
      <alignment horizontal="left" vertical="center" wrapText="1"/>
    </xf>
    <xf numFmtId="164" fontId="9" fillId="9" borderId="0" applyAlignment="1" pivotButton="0" quotePrefix="0" xfId="1">
      <alignment horizontal="center" vertical="center" wrapText="1"/>
    </xf>
    <xf numFmtId="0" fontId="9" fillId="9" borderId="2" applyAlignment="1" pivotButton="0" quotePrefix="0" xfId="1">
      <alignment horizontal="left" vertical="center" wrapText="1"/>
    </xf>
    <xf numFmtId="0" fontId="10" fillId="10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165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1">
      <alignment horizontal="left" vertical="center" wrapText="1"/>
    </xf>
    <xf numFmtId="165" fontId="9" fillId="0" borderId="0" applyAlignment="1" pivotButton="0" quotePrefix="0" xfId="1">
      <alignment horizontal="center" vertical="center" wrapText="1"/>
    </xf>
    <xf numFmtId="0" fontId="9" fillId="0" borderId="0" applyAlignment="1" pivotButton="0" quotePrefix="0" xfId="1">
      <alignment horizontal="center" vertical="center" wrapText="1"/>
    </xf>
    <xf numFmtId="0" fontId="10" fillId="10" borderId="2" applyAlignment="1" pivotButton="0" quotePrefix="0" xfId="1">
      <alignment horizontal="left" vertical="center" wrapText="1"/>
    </xf>
    <xf numFmtId="0" fontId="9" fillId="9" borderId="0" applyAlignment="1" pivotButton="0" quotePrefix="0" xfId="0">
      <alignment horizontal="left" vertical="center" wrapText="1"/>
    </xf>
    <xf numFmtId="168" fontId="0" fillId="3" borderId="1" applyAlignment="1" pivotButton="0" quotePrefix="0" xfId="2">
      <alignment vertical="center" wrapText="1"/>
    </xf>
    <xf numFmtId="166" fontId="0" fillId="3" borderId="1" applyAlignment="1" pivotButton="0" quotePrefix="0" xfId="1">
      <alignment vertical="center" wrapText="1"/>
    </xf>
    <xf numFmtId="168" fontId="0" fillId="0" borderId="1" applyAlignment="1" pivotButton="0" quotePrefix="0" xfId="2">
      <alignment vertical="center" wrapText="1"/>
    </xf>
    <xf numFmtId="166" fontId="0" fillId="0" borderId="1" applyAlignment="1" pivotButton="0" quotePrefix="0" xfId="1">
      <alignment vertical="center" wrapText="1"/>
    </xf>
    <xf numFmtId="0" fontId="9" fillId="11" borderId="0" applyAlignment="1" pivotButton="0" quotePrefix="0" xfId="1">
      <alignment horizontal="left" vertical="center" wrapText="1"/>
    </xf>
    <xf numFmtId="165" fontId="9" fillId="11" borderId="0" applyAlignment="1" pivotButton="0" quotePrefix="0" xfId="1">
      <alignment horizontal="center" vertical="center" wrapText="1"/>
    </xf>
    <xf numFmtId="168" fontId="9" fillId="11" borderId="0" applyAlignment="1" pivotButton="0" quotePrefix="0" xfId="1">
      <alignment horizontal="center" vertical="center" wrapText="1"/>
    </xf>
    <xf numFmtId="2" fontId="9" fillId="11" borderId="0" applyAlignment="1" pivotButton="0" quotePrefix="0" xfId="1">
      <alignment horizontal="center" vertical="center" wrapText="1"/>
    </xf>
    <xf numFmtId="0" fontId="9" fillId="11" borderId="0" applyAlignment="1" pivotButton="0" quotePrefix="0" xfId="0">
      <alignment horizontal="left" vertical="center" wrapText="1"/>
    </xf>
    <xf numFmtId="0" fontId="7" fillId="4" borderId="2" applyAlignment="1" pivotButton="0" quotePrefix="0" xfId="0">
      <alignment vertical="center" wrapText="1"/>
    </xf>
    <xf numFmtId="167" fontId="0" fillId="0" borderId="1" applyAlignment="1" pivotButton="0" quotePrefix="0" xfId="1">
      <alignment vertical="center" wrapText="1"/>
    </xf>
    <xf numFmtId="167" fontId="0" fillId="3" borderId="1" applyAlignment="1" pivotButton="0" quotePrefix="0" xfId="1">
      <alignment vertical="center" wrapText="1"/>
    </xf>
    <xf numFmtId="0" fontId="9" fillId="12" borderId="0" applyAlignment="1" pivotButton="0" quotePrefix="0" xfId="0">
      <alignment horizontal="left" vertical="center" wrapText="1"/>
    </xf>
    <xf numFmtId="165" fontId="9" fillId="12" borderId="0" applyAlignment="1" pivotButton="0" quotePrefix="0" xfId="0">
      <alignment horizontal="center" vertical="center" wrapText="1"/>
    </xf>
    <xf numFmtId="0" fontId="1" fillId="4" borderId="2" applyAlignment="1" pivotButton="0" quotePrefix="0" xfId="0">
      <alignment vertical="center"/>
    </xf>
    <xf numFmtId="168" fontId="0" fillId="5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8" fontId="0" fillId="0" borderId="1" applyAlignment="1" pivotButton="0" quotePrefix="0" xfId="0">
      <alignment vertical="center" wrapText="1"/>
    </xf>
    <xf numFmtId="168" fontId="9" fillId="12" borderId="0" applyAlignment="1" pivotButton="0" quotePrefix="0" xfId="0">
      <alignment horizontal="center" vertical="center" wrapText="1"/>
    </xf>
    <xf numFmtId="171" fontId="9" fillId="12" borderId="0" applyAlignment="1" pivotButton="0" quotePrefix="0" xfId="0">
      <alignment horizontal="center" vertical="center" wrapText="1"/>
    </xf>
    <xf numFmtId="165" fontId="9" fillId="0" borderId="0" applyAlignment="1" pivotButton="0" quotePrefix="0" xfId="0">
      <alignment vertical="center" wrapText="1"/>
    </xf>
  </cellXfs>
  <cellStyles count="5">
    <cellStyle name="Обычный" xfId="0" builtinId="0"/>
    <cellStyle name="Normal" xfId="1"/>
    <cellStyle name="Финансовый" xfId="2"/>
    <cellStyle name="Обычный 2" xfId="3"/>
    <cellStyle name="Normal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styles" Target="styles.xml" Id="rId9" /><ns0:Relationship Type="http://schemas.openxmlformats.org/officeDocument/2006/relationships/theme" Target="theme/theme1.xml" Id="rId10" /></ns0: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3" topLeftCell="A37" activePane="bottomLeft" state="frozen"/>
      <selection pane="bottomLeft" activeCell="E46" sqref="A46:E46"/>
    </sheetView>
  </sheetViews>
  <sheetFormatPr baseColWidth="8" defaultRowHeight="15"/>
  <cols>
    <col width="49" customWidth="1" min="1" max="1"/>
    <col width="22" customWidth="1" min="2" max="4"/>
    <col width="83" customWidth="1" min="5" max="5"/>
    <col width="22" customWidth="1" min="6" max="10"/>
  </cols>
  <sheetData>
    <row r="1" ht="24" customHeight="1">
      <c r="A1" s="60" t="inlineStr">
        <is>
          <t>Задание 1. Таблица исходных данных</t>
        </is>
      </c>
    </row>
    <row r="2" ht="32" customHeight="1">
      <c r="A2" s="61" t="inlineStr">
        <is>
          <t>ПАО «Татнефть» им. В.Д. Шашина, бухгалтерская отчетность РСБУ. Сравнительный 2024 год взят из отчета за 2025 после корректировок (ФСБУ 4/2023). Единица — млн руб., в отчете числа даны в тыс. руб.</t>
        </is>
      </c>
    </row>
    <row r="3" ht="32.1" customHeight="1">
      <c r="A3" s="5" t="inlineStr">
        <is>
          <t>Показатель</t>
        </is>
      </c>
      <c r="B3" s="5" t="inlineStr">
        <is>
          <t>2024 год</t>
        </is>
      </c>
      <c r="C3" s="5" t="inlineStr">
        <is>
          <t>2025 год</t>
        </is>
      </c>
      <c r="D3" s="5" t="inlineStr">
        <is>
          <t>Ед.</t>
        </is>
      </c>
      <c r="E3" s="5" t="inlineStr">
        <is>
          <t>Документ / номер строки / первоисточник</t>
        </is>
      </c>
      <c r="F3" s="1" t="n"/>
      <c r="G3" s="1" t="n"/>
      <c r="H3" s="1" t="n"/>
      <c r="I3" s="1" t="n"/>
      <c r="J3" s="1" t="n"/>
    </row>
    <row r="4" ht="30" customHeight="1">
      <c r="A4" s="4" t="inlineStr">
        <is>
          <t>Выручка</t>
        </is>
      </c>
      <c r="B4" s="62" t="n">
        <v>1563778.385</v>
      </c>
      <c r="C4" s="62" t="n">
        <v>1379916.414</v>
      </c>
      <c r="D4" s="63" t="inlineStr">
        <is>
          <t>млн руб.</t>
        </is>
      </c>
      <c r="E4" s="15" t="inlineStr">
        <is>
          <t>ОФР 2110; бухгалтерская отчётность ПАО, опубликована через e-disclosure; архив PDF: https://reportcollection.inion.ru/reports/download/?reportId=4664</t>
        </is>
      </c>
      <c r="F4" s="2" t="n"/>
      <c r="G4" s="2" t="n"/>
      <c r="H4" s="2" t="n"/>
      <c r="I4" s="2" t="n"/>
      <c r="J4" s="2" t="n"/>
    </row>
    <row r="5">
      <c r="A5" s="6" t="inlineStr">
        <is>
          <t>Себестоимость продаж</t>
        </is>
      </c>
      <c r="B5" s="64" t="n">
        <v>1118130.818</v>
      </c>
      <c r="C5" s="64" t="n">
        <v>1046338.32</v>
      </c>
      <c r="D5" s="65" t="inlineStr">
        <is>
          <t>млн руб.</t>
        </is>
      </c>
      <c r="E5" s="16" t="inlineStr">
        <is>
          <t>ОФР, строка 2120 https://reportcollection.inion.ru/reports/download/?reportId=4664</t>
        </is>
      </c>
      <c r="F5" s="2" t="n"/>
      <c r="G5" s="2" t="n"/>
      <c r="H5" s="2" t="n"/>
      <c r="I5" s="2" t="n"/>
      <c r="J5" s="2" t="n"/>
    </row>
    <row r="6">
      <c r="A6" s="4" t="inlineStr">
        <is>
          <t>Валовая прибыль</t>
        </is>
      </c>
      <c r="B6" s="62" t="n">
        <v>445647.567</v>
      </c>
      <c r="C6" s="62" t="n">
        <v>333578.094</v>
      </c>
      <c r="D6" s="63" t="inlineStr">
        <is>
          <t>млн руб.</t>
        </is>
      </c>
      <c r="E6" s="15" t="inlineStr">
        <is>
          <t>ОФР, строка 2100 https://reportcollection.inion.ru/reports/download/?reportId=4664</t>
        </is>
      </c>
      <c r="F6" s="2" t="n"/>
      <c r="G6" s="2" t="n"/>
      <c r="H6" s="2" t="n"/>
      <c r="I6" s="2" t="n"/>
      <c r="J6" s="2" t="n"/>
    </row>
    <row r="7">
      <c r="A7" s="6" t="inlineStr">
        <is>
          <t>Коммерческие расходы</t>
        </is>
      </c>
      <c r="B7" s="64" t="n">
        <v>110103.046</v>
      </c>
      <c r="C7" s="64" t="n">
        <v>94772.838</v>
      </c>
      <c r="D7" s="65" t="inlineStr">
        <is>
          <t>млн руб.</t>
        </is>
      </c>
      <c r="E7" s="16" t="inlineStr">
        <is>
          <t>ОФР, строка 2210 · https://reportcollection.inion.ru/reports/download/?reportId=4664</t>
        </is>
      </c>
      <c r="F7" s="2" t="n"/>
      <c r="G7" s="2" t="n"/>
      <c r="H7" s="2" t="n"/>
      <c r="I7" s="2" t="n"/>
      <c r="J7" s="2" t="n"/>
    </row>
    <row r="8">
      <c r="A8" s="4" t="inlineStr">
        <is>
          <t>Управленческие расходы</t>
        </is>
      </c>
      <c r="B8" s="62" t="n">
        <v>16444.301</v>
      </c>
      <c r="C8" s="62" t="n">
        <v>16224.622</v>
      </c>
      <c r="D8" s="63" t="inlineStr">
        <is>
          <t>млн руб.</t>
        </is>
      </c>
      <c r="E8" s="4" t="inlineStr">
        <is>
          <t>ОФР, строка 2220 · https://reportcollection.inion.ru/reports/download/?reportId=4664</t>
        </is>
      </c>
      <c r="F8" s="2" t="n"/>
      <c r="G8" s="2" t="n"/>
      <c r="H8" s="2" t="n"/>
      <c r="I8" s="2" t="n"/>
      <c r="J8" s="2" t="n"/>
    </row>
    <row r="9">
      <c r="A9" s="6" t="inlineStr">
        <is>
          <t>Прибыль от продаж</t>
        </is>
      </c>
      <c r="B9" s="64" t="n">
        <v>319100.22</v>
      </c>
      <c r="C9" s="64" t="n">
        <v>222580.634</v>
      </c>
      <c r="D9" s="65" t="inlineStr">
        <is>
          <t>млн руб.</t>
        </is>
      </c>
      <c r="E9" s="6" t="inlineStr">
        <is>
          <t>ОФР, строка 2200 · https://reportcollection.inion.ru/reports/download/?reportId=4664</t>
        </is>
      </c>
      <c r="F9" s="2" t="n"/>
      <c r="G9" s="2" t="n"/>
      <c r="H9" s="2" t="n"/>
      <c r="I9" s="2" t="n"/>
      <c r="J9" s="2" t="n"/>
    </row>
    <row r="10">
      <c r="A10" s="4" t="inlineStr">
        <is>
          <t>Прибыль до налогообложения</t>
        </is>
      </c>
      <c r="B10" s="62" t="n">
        <v>330000.918</v>
      </c>
      <c r="C10" s="62" t="n">
        <v>188891.943</v>
      </c>
      <c r="D10" s="63" t="inlineStr">
        <is>
          <t>млн руб.</t>
        </is>
      </c>
      <c r="E10" s="4" t="inlineStr">
        <is>
          <t>ОФР, строка 2300 · https://reportcollection.inion.ru/reports/download/?reportId=4664</t>
        </is>
      </c>
      <c r="F10" s="2" t="n"/>
      <c r="G10" s="2" t="n"/>
      <c r="H10" s="2" t="n"/>
      <c r="I10" s="2" t="n"/>
      <c r="J10" s="2" t="n"/>
    </row>
    <row r="11">
      <c r="A11" s="6" t="inlineStr">
        <is>
          <t>Чистая прибыль</t>
        </is>
      </c>
      <c r="B11" s="64" t="n">
        <v>251375.287</v>
      </c>
      <c r="C11" s="64" t="n">
        <v>145844.143</v>
      </c>
      <c r="D11" s="65" t="inlineStr">
        <is>
          <t>млн руб.</t>
        </is>
      </c>
      <c r="E11" s="6" t="inlineStr">
        <is>
          <t>ОФР, строка 2400 · https://reportcollection.inion.ru/reports/download/?reportId=4664</t>
        </is>
      </c>
      <c r="F11" s="2" t="n"/>
      <c r="G11" s="2" t="n"/>
      <c r="H11" s="2" t="n"/>
      <c r="I11" s="2" t="n"/>
      <c r="J11" s="2" t="n"/>
    </row>
    <row r="12" ht="30" customHeight="1">
      <c r="A12" s="4" t="inlineStr">
        <is>
          <t>Амортизация (расходы по обычным видам деятельности)</t>
        </is>
      </c>
      <c r="B12" s="62" t="n">
        <v>35650.873</v>
      </c>
      <c r="C12" s="62" t="n">
        <v>40988.345</v>
      </c>
      <c r="D12" s="63" t="inlineStr">
        <is>
          <t>млн руб.</t>
        </is>
      </c>
      <c r="E12" s="4" t="inlineStr">
        <is>
          <t>Пояснение 12, амортизация в расходах по обычным видам деятельности · https://reportcollection.inion.ru/reports/download/?reportId=4664</t>
        </is>
      </c>
      <c r="F12" s="2" t="n"/>
      <c r="G12" s="2" t="n"/>
      <c r="H12" s="2" t="n"/>
      <c r="I12" s="2" t="n"/>
      <c r="J12" s="2" t="n"/>
    </row>
    <row r="13">
      <c r="A13" s="6" t="inlineStr">
        <is>
          <t>ОДП / операционный денежный поток</t>
        </is>
      </c>
      <c r="B13" s="64" t="n">
        <v>291900.472</v>
      </c>
      <c r="C13" s="64" t="n">
        <v>207008.758</v>
      </c>
      <c r="D13" s="65" t="inlineStr">
        <is>
          <t>млн руб.</t>
        </is>
      </c>
      <c r="E13" s="6" t="inlineStr">
        <is>
          <t>ОДДС, строка 4100 · https://reportcollection.inion.ru/reports/download/?reportId=4664</t>
        </is>
      </c>
      <c r="F13" s="2" t="n"/>
      <c r="G13" s="2" t="n"/>
      <c r="H13" s="2" t="n"/>
      <c r="I13" s="2" t="n"/>
      <c r="J13" s="2" t="n"/>
    </row>
    <row r="14">
      <c r="A14" s="4" t="inlineStr">
        <is>
          <t>Капвложения: платежи инвестиционной деятельности</t>
        </is>
      </c>
      <c r="B14" s="62" t="n">
        <v>92737.39599999999</v>
      </c>
      <c r="C14" s="62" t="n">
        <v>67359.13800000001</v>
      </c>
      <c r="D14" s="63" t="inlineStr">
        <is>
          <t>млн руб.</t>
        </is>
      </c>
      <c r="E14" s="4" t="inlineStr">
        <is>
          <t>ОДДС, строка 4221 · https://reportcollection.inion.ru/reports/download/?reportId=4664</t>
        </is>
      </c>
      <c r="F14" s="2" t="n"/>
      <c r="G14" s="2" t="n"/>
      <c r="H14" s="2" t="n"/>
      <c r="I14" s="2" t="n"/>
      <c r="J14" s="2" t="n"/>
    </row>
    <row r="15">
      <c r="A15" s="6" t="inlineStr">
        <is>
          <t>Капвложения: платежи текущей деятельности</t>
        </is>
      </c>
      <c r="B15" s="64" t="n">
        <v>35430.835</v>
      </c>
      <c r="C15" s="64" t="n">
        <v>31513.716</v>
      </c>
      <c r="D15" s="65" t="inlineStr">
        <is>
          <t>млн руб.</t>
        </is>
      </c>
      <c r="E15" s="6" t="inlineStr">
        <is>
          <t>ОДДС, строка 4125 · https://reportcollection.inion.ru/reports/download/?reportId=4664</t>
        </is>
      </c>
      <c r="F15" s="2" t="n"/>
      <c r="G15" s="2" t="n"/>
      <c r="H15" s="2" t="n"/>
      <c r="I15" s="2" t="n"/>
      <c r="J15" s="2" t="n"/>
    </row>
    <row r="16" ht="30" customHeight="1">
      <c r="A16" s="4" t="inlineStr">
        <is>
          <t>Доходы от участия в других организациях</t>
        </is>
      </c>
      <c r="B16" s="62" t="n">
        <v>17675.975</v>
      </c>
      <c r="C16" s="62" t="n">
        <v>51593.5</v>
      </c>
      <c r="D16" s="63" t="inlineStr">
        <is>
          <t>млн руб.</t>
        </is>
      </c>
      <c r="E16" s="4" t="inlineStr">
        <is>
          <t>ОФР, строка 2310, доходы от участия · https://reportcollection.inion.ru/reports/download/?reportId=4664</t>
        </is>
      </c>
      <c r="F16" s="2" t="n"/>
      <c r="G16" s="2" t="n"/>
      <c r="H16" s="2" t="n"/>
      <c r="I16" s="2" t="n"/>
      <c r="J16" s="2" t="n"/>
    </row>
    <row r="17">
      <c r="A17" s="6" t="inlineStr">
        <is>
          <t>Проценты к получению</t>
        </is>
      </c>
      <c r="B17" s="64" t="n">
        <v>14958.419</v>
      </c>
      <c r="C17" s="64" t="n">
        <v>15183.078</v>
      </c>
      <c r="D17" s="65" t="inlineStr">
        <is>
          <t>млн руб.</t>
        </is>
      </c>
      <c r="E17" s="6" t="inlineStr">
        <is>
          <t>ОФР, строка 2320 · https://reportcollection.inion.ru/reports/download/?reportId=4664</t>
        </is>
      </c>
      <c r="F17" s="2" t="n"/>
      <c r="G17" s="2" t="n"/>
      <c r="H17" s="2" t="n"/>
      <c r="I17" s="2" t="n"/>
      <c r="J17" s="2" t="n"/>
    </row>
    <row r="18">
      <c r="A18" s="4" t="inlineStr">
        <is>
          <t>Проценты к уплате</t>
        </is>
      </c>
      <c r="B18" s="62" t="n">
        <v>20272.004</v>
      </c>
      <c r="C18" s="62" t="n">
        <v>9515.494000000001</v>
      </c>
      <c r="D18" s="63" t="inlineStr">
        <is>
          <t>млн руб.</t>
        </is>
      </c>
      <c r="E18" s="4" t="inlineStr">
        <is>
          <t>ОФР, строка 2330 · https://reportcollection.inion.ru/reports/download/?reportId=4664</t>
        </is>
      </c>
      <c r="F18" s="2" t="n"/>
      <c r="G18" s="2" t="n"/>
      <c r="H18" s="2" t="n"/>
      <c r="I18" s="2" t="n"/>
      <c r="J18" s="2" t="n"/>
    </row>
    <row r="19">
      <c r="A19" s="6" t="inlineStr">
        <is>
          <t>Прочие доходы</t>
        </is>
      </c>
      <c r="B19" s="64" t="n">
        <v>58106.802</v>
      </c>
      <c r="C19" s="64" t="n">
        <v>96552.77800000001</v>
      </c>
      <c r="D19" s="65" t="inlineStr">
        <is>
          <t>млн руб.</t>
        </is>
      </c>
      <c r="E19" s="6" t="inlineStr">
        <is>
          <t>ОФР, строка 2340 · https://reportcollection.inion.ru/reports/download/?reportId=4664</t>
        </is>
      </c>
      <c r="F19" s="2" t="n"/>
      <c r="G19" s="2" t="n"/>
      <c r="H19" s="2" t="n"/>
      <c r="I19" s="2" t="n"/>
      <c r="J19" s="2" t="n"/>
    </row>
    <row r="20">
      <c r="A20" s="4" t="inlineStr">
        <is>
          <t>Прочие расходы</t>
        </is>
      </c>
      <c r="B20" s="62" t="n">
        <v>59568.494</v>
      </c>
      <c r="C20" s="62" t="n">
        <v>187502.553</v>
      </c>
      <c r="D20" s="63" t="inlineStr">
        <is>
          <t>млн руб.</t>
        </is>
      </c>
      <c r="E20" s="4" t="inlineStr">
        <is>
          <t>ОФР, строка 2350 · https://reportcollection.inion.ru/reports/download/?reportId=4664</t>
        </is>
      </c>
      <c r="F20" s="2" t="n"/>
      <c r="G20" s="2" t="n"/>
      <c r="H20" s="2" t="n"/>
      <c r="I20" s="2" t="n"/>
      <c r="J20" s="2" t="n"/>
    </row>
    <row r="21" ht="30" customHeight="1">
      <c r="A21" s="6" t="inlineStr">
        <is>
          <t>Расход по налогу на прибыль</t>
        </is>
      </c>
      <c r="B21" s="64" t="n">
        <v>78991.391</v>
      </c>
      <c r="C21" s="64" t="n">
        <v>44062.87</v>
      </c>
      <c r="D21" s="65" t="inlineStr">
        <is>
          <t>млн руб.</t>
        </is>
      </c>
      <c r="E21" s="6" t="inlineStr">
        <is>
          <t>ОФР, строка 2410; расход по налогу со знаком плюс · https://reportcollection.inion.ru/reports/download/?reportId=4664</t>
        </is>
      </c>
      <c r="F21" s="2" t="n"/>
      <c r="G21" s="2" t="n"/>
      <c r="H21" s="2" t="n"/>
      <c r="I21" s="2" t="n"/>
      <c r="J21" s="2" t="n"/>
    </row>
    <row r="22">
      <c r="A22" s="4" t="inlineStr">
        <is>
          <t>Прочее (до чистой прибыли)</t>
        </is>
      </c>
      <c r="B22" s="62" t="n">
        <v>365.76</v>
      </c>
      <c r="C22" s="62" t="n">
        <v>1015.07</v>
      </c>
      <c r="D22" s="63" t="inlineStr">
        <is>
          <t>млн руб.</t>
        </is>
      </c>
      <c r="E22" s="4" t="inlineStr">
        <is>
          <t>ОФР, строка 2460 · https://reportcollection.inion.ru/reports/download/?reportId=4664</t>
        </is>
      </c>
      <c r="F22" s="2" t="n"/>
      <c r="G22" s="2" t="n"/>
      <c r="H22" s="2" t="n"/>
      <c r="I22" s="2" t="n"/>
      <c r="J22" s="2" t="n"/>
    </row>
    <row r="23" ht="30" customHeight="1">
      <c r="A23" s="6" t="inlineStr">
        <is>
          <t>Выручка: нефтепродукты и нефтехимия</t>
        </is>
      </c>
      <c r="B23" s="64" t="n">
        <v>856198.232</v>
      </c>
      <c r="C23" s="64" t="n">
        <v>830030.272</v>
      </c>
      <c r="D23" s="65" t="inlineStr">
        <is>
          <t>млн руб.</t>
        </is>
      </c>
      <c r="E23" s="16" t="inlineStr">
        <is>
          <t>Пояснение 11, реализация нефте-/газопродуктов и нефтехимии · https://reportcollection.inion.ru/reports/download/?reportId=4664</t>
        </is>
      </c>
      <c r="F23" s="2" t="n"/>
      <c r="G23" s="2" t="n"/>
      <c r="H23" s="2" t="n"/>
      <c r="I23" s="2" t="n"/>
      <c r="J23" s="2" t="n"/>
    </row>
    <row r="24" ht="30" customHeight="1">
      <c r="A24" s="4" t="inlineStr">
        <is>
          <t>Выручка: собственная нефть</t>
        </is>
      </c>
      <c r="B24" s="62" t="n">
        <v>666154.47</v>
      </c>
      <c r="C24" s="62" t="n">
        <v>503867.561</v>
      </c>
      <c r="D24" s="63" t="inlineStr">
        <is>
          <t>млн руб.</t>
        </is>
      </c>
      <c r="E24" s="4" t="inlineStr">
        <is>
          <t>Пояснение 11, реализация собственной нефти · https://reportcollection.inion.ru/reports/download/?reportId=4664</t>
        </is>
      </c>
      <c r="F24" s="2" t="n"/>
      <c r="G24" s="2" t="n"/>
      <c r="H24" s="2" t="n"/>
      <c r="I24" s="2" t="n"/>
      <c r="J24" s="2" t="n"/>
    </row>
    <row r="25" ht="30" customHeight="1">
      <c r="A25" s="6" t="inlineStr">
        <is>
          <t>Выручка: прочие готовые товары</t>
        </is>
      </c>
      <c r="B25" s="64" t="n">
        <v>21234.617</v>
      </c>
      <c r="C25" s="64" t="n">
        <v>17418.366</v>
      </c>
      <c r="D25" s="65" t="inlineStr">
        <is>
          <t>млн руб.</t>
        </is>
      </c>
      <c r="E25" s="6" t="inlineStr">
        <is>
          <t>Пояснение 11, прочая готовая продукция и товары · https://reportcollection.inion.ru/reports/download/?reportId=4664</t>
        </is>
      </c>
      <c r="F25" s="2" t="n"/>
      <c r="G25" s="2" t="n"/>
      <c r="H25" s="2" t="n"/>
      <c r="I25" s="2" t="n"/>
      <c r="J25" s="2" t="n"/>
    </row>
    <row r="26" ht="30" customHeight="1">
      <c r="A26" s="4" t="inlineStr">
        <is>
          <t>Выручка: покупная нефть</t>
        </is>
      </c>
      <c r="B26" s="62" t="n">
        <v>0</v>
      </c>
      <c r="C26" s="62" t="n">
        <v>13354.482</v>
      </c>
      <c r="D26" s="63" t="inlineStr">
        <is>
          <t>млн руб.</t>
        </is>
      </c>
      <c r="E26" s="15" t="inlineStr">
        <is>
          <t>Пояснение 11, реализация покупной нефти· https://reportcollection.inion.ru/reports/download/?reportId=4664</t>
        </is>
      </c>
      <c r="F26" s="2" t="n"/>
      <c r="G26" s="2" t="n"/>
      <c r="H26" s="2" t="n"/>
      <c r="I26" s="2" t="n"/>
      <c r="J26" s="2" t="n"/>
    </row>
    <row r="27" ht="30" customHeight="1">
      <c r="A27" s="6" t="inlineStr">
        <is>
          <t>Выручка: строительные работы</t>
        </is>
      </c>
      <c r="B27" s="64" t="n">
        <v>6039.715</v>
      </c>
      <c r="C27" s="64" t="n">
        <v>1500.782</v>
      </c>
      <c r="D27" s="65" t="inlineStr">
        <is>
          <t>млн руб.</t>
        </is>
      </c>
      <c r="E27" s="6" t="inlineStr">
        <is>
          <t>Пояснение 11, услуги/строительные работы · https://reportcollection.inion.ru/reports/download/?reportId=4664</t>
        </is>
      </c>
      <c r="F27" s="2" t="n"/>
      <c r="G27" s="2" t="n"/>
      <c r="H27" s="2" t="n"/>
      <c r="I27" s="2" t="n"/>
      <c r="J27" s="2" t="n"/>
    </row>
    <row r="28">
      <c r="A28" s="4" t="inlineStr">
        <is>
          <t>Выручка: прочая реализация</t>
        </is>
      </c>
      <c r="B28" s="62" t="n">
        <v>14151.351</v>
      </c>
      <c r="C28" s="62" t="n">
        <v>13744.951</v>
      </c>
      <c r="D28" s="63" t="inlineStr">
        <is>
          <t>млн руб.</t>
        </is>
      </c>
      <c r="E28" s="4" t="inlineStr">
        <is>
          <t>Пояснение 11, прочая реализация · https://reportcollection.inion.ru/reports/download/?reportId=4664</t>
        </is>
      </c>
      <c r="F28" s="2" t="n"/>
      <c r="G28" s="2" t="n"/>
      <c r="H28" s="2" t="n"/>
      <c r="I28" s="2" t="n"/>
      <c r="J28" s="2" t="n"/>
    </row>
    <row r="29" ht="24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 ht="24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 ht="24" customHeight="1">
      <c r="A31" s="39" t="inlineStr">
        <is>
          <t>Баланс на три отчетные даты, млн руб.</t>
        </is>
      </c>
      <c r="B31" s="66" t="n"/>
      <c r="C31" s="66" t="n"/>
      <c r="D31" s="66" t="n"/>
      <c r="E31" s="67" t="n"/>
      <c r="F31" s="2" t="n"/>
      <c r="G31" s="2" t="n"/>
      <c r="H31" s="2" t="n"/>
      <c r="I31" s="2" t="n"/>
      <c r="J31" s="2" t="n"/>
    </row>
    <row r="32" ht="32.1" customHeight="1">
      <c r="A32" s="5" t="inlineStr">
        <is>
          <t>Показатель</t>
        </is>
      </c>
      <c r="B32" s="5" t="inlineStr">
        <is>
          <t>31.12.2024</t>
        </is>
      </c>
      <c r="C32" s="5" t="inlineStr">
        <is>
          <t>31.12.2025</t>
        </is>
      </c>
      <c r="D32" s="5" t="inlineStr">
        <is>
          <t>31.12.2023</t>
        </is>
      </c>
      <c r="E32" s="5" t="inlineStr">
        <is>
          <t>Источник</t>
        </is>
      </c>
      <c r="F32" s="2" t="n"/>
      <c r="G32" s="2" t="n"/>
      <c r="H32" s="2" t="n"/>
      <c r="I32" s="2" t="n"/>
      <c r="J32" s="2" t="n"/>
    </row>
    <row r="33">
      <c r="A33" s="4" t="inlineStr">
        <is>
          <t>Активы всего</t>
        </is>
      </c>
      <c r="B33" s="62" t="n">
        <v>1493117.675</v>
      </c>
      <c r="C33" s="62" t="n">
        <v>1407313.732</v>
      </c>
      <c r="D33" s="62" t="n">
        <v>1455562.306</v>
      </c>
      <c r="E33" s="4" t="inlineStr">
        <is>
          <t>Бухгалтерский баланс / https://reportcollection.inion.ru/reports/download/?reportId=4664</t>
        </is>
      </c>
      <c r="F33" s="2" t="n"/>
      <c r="G33" s="2" t="n"/>
      <c r="H33" s="2" t="n"/>
      <c r="I33" s="2" t="n"/>
      <c r="J33" s="2" t="n"/>
    </row>
    <row r="34">
      <c r="A34" s="6" t="inlineStr">
        <is>
          <t>Основные средства</t>
        </is>
      </c>
      <c r="B34" s="64" t="n">
        <v>456703.33</v>
      </c>
      <c r="C34" s="64" t="n">
        <v>480741.727</v>
      </c>
      <c r="D34" s="64" t="n">
        <v>389688.512</v>
      </c>
      <c r="E34" s="6" t="inlineStr">
        <is>
          <t>Бухгалтерский баланс / https://reportcollection.inion.ru/reports/download/?reportId=4664</t>
        </is>
      </c>
      <c r="F34" s="2" t="n"/>
      <c r="G34" s="2" t="n"/>
      <c r="H34" s="2" t="n"/>
      <c r="I34" s="2" t="n"/>
      <c r="J34" s="2" t="n"/>
    </row>
    <row r="35">
      <c r="A35" s="4" t="inlineStr">
        <is>
          <t>Запасы</t>
        </is>
      </c>
      <c r="B35" s="62" t="n">
        <v>184900.295</v>
      </c>
      <c r="C35" s="62" t="n">
        <v>134947.442</v>
      </c>
      <c r="D35" s="62" t="n">
        <v>156011.318</v>
      </c>
      <c r="E35" s="4" t="inlineStr">
        <is>
          <t>Бухгалтерский баланс / https://reportcollection.inion.ru/reports/download/?reportId=4664</t>
        </is>
      </c>
      <c r="F35" s="2" t="n"/>
      <c r="G35" s="2" t="n"/>
      <c r="H35" s="2" t="n"/>
      <c r="I35" s="2" t="n"/>
      <c r="J35" s="2" t="n"/>
    </row>
    <row r="36" ht="27" customHeight="1">
      <c r="A36" s="43" t="inlineStr">
        <is>
          <t>Дебиторская задолженность</t>
        </is>
      </c>
      <c r="B36" s="68" t="n">
        <v>348152.276</v>
      </c>
      <c r="C36" s="68" t="n">
        <v>321044.409</v>
      </c>
      <c r="D36" s="68" t="n">
        <v>396241.26</v>
      </c>
      <c r="E36" s="43" t="inlineStr">
        <is>
          <t>Бухгалтерский баланс / https://reportcollection.inion.ru/reports/download/?reportId=4664</t>
        </is>
      </c>
      <c r="F36" s="2" t="n"/>
      <c r="G36" s="2" t="n"/>
      <c r="H36" s="2" t="n"/>
      <c r="I36" s="2" t="n"/>
      <c r="J36" s="2" t="n"/>
    </row>
    <row r="37" ht="27" customHeight="1">
      <c r="A37" s="31" t="inlineStr">
        <is>
          <t>Денежные средства</t>
        </is>
      </c>
      <c r="B37" s="32" t="n">
        <v>64365.22</v>
      </c>
      <c r="C37" s="32" t="n">
        <v>31358.287</v>
      </c>
      <c r="D37" s="69" t="n">
        <v>52642.849</v>
      </c>
      <c r="E37" s="31" t="inlineStr">
        <is>
          <t>Бухгалтерский баланс / https://reportcollection.inion.ru/reports/download/?reportId=4664</t>
        </is>
      </c>
      <c r="F37" s="2" t="n"/>
      <c r="G37" s="2" t="n"/>
      <c r="H37" s="2" t="n"/>
      <c r="I37" s="2" t="n"/>
      <c r="J37" s="2" t="n"/>
    </row>
    <row r="38" ht="27" customHeight="1">
      <c r="A38" s="27" t="inlineStr">
        <is>
          <t>Собственный капитал</t>
        </is>
      </c>
      <c r="B38" s="34" t="n">
        <v>992130.682</v>
      </c>
      <c r="C38" s="34" t="n">
        <v>983687.0379999999</v>
      </c>
      <c r="D38" s="70" t="n">
        <v>927820.358</v>
      </c>
      <c r="E38" s="27" t="inlineStr">
        <is>
          <t>Бухгалтерский баланс / https://reportcollection.inion.ru/reports/download/?reportId=4664</t>
        </is>
      </c>
      <c r="F38" s="2" t="n"/>
      <c r="G38" s="2" t="n"/>
      <c r="H38" s="2" t="n"/>
      <c r="I38" s="2" t="n"/>
      <c r="J38" s="2" t="n"/>
    </row>
    <row r="39" ht="27" customHeight="1">
      <c r="A39" s="31" t="inlineStr">
        <is>
          <t>Краткосрочные обязательства</t>
        </is>
      </c>
      <c r="B39" s="69" t="n">
        <v>403179.458</v>
      </c>
      <c r="C39" s="69" t="n">
        <v>330377.358</v>
      </c>
      <c r="D39" s="69" t="n">
        <v>451784.918</v>
      </c>
      <c r="E39" s="31" t="inlineStr">
        <is>
          <t>Бухгалтерский баланс / https://reportcollection.inion.ru/reports/download/?reportId=4664</t>
        </is>
      </c>
      <c r="F39" s="2" t="n"/>
      <c r="G39" s="2" t="n"/>
      <c r="H39" s="2" t="n"/>
      <c r="I39" s="2" t="n"/>
      <c r="J39" s="2" t="n"/>
    </row>
    <row r="40" ht="27" customHeight="1">
      <c r="A40" s="27" t="inlineStr">
        <is>
          <t>Долгосрочные обязательства</t>
        </is>
      </c>
      <c r="B40" s="70" t="n">
        <v>97807.535</v>
      </c>
      <c r="C40" s="70" t="n">
        <v>93249.336</v>
      </c>
      <c r="D40" s="70" t="n">
        <v>75957.03</v>
      </c>
      <c r="E40" s="27" t="inlineStr">
        <is>
          <t>Бухгалтерский баланс / https://reportcollection.inion.ru/reports/download/?reportId=4664</t>
        </is>
      </c>
      <c r="F40" s="2" t="n"/>
      <c r="G40" s="2" t="n"/>
      <c r="H40" s="2" t="n"/>
      <c r="I40" s="2" t="n"/>
      <c r="J40" s="2" t="n"/>
    </row>
    <row r="41" ht="27" customHeight="1">
      <c r="A41" s="35" t="n"/>
      <c r="B41" s="35" t="n"/>
      <c r="C41" s="35" t="n"/>
      <c r="D41" s="35" t="n"/>
      <c r="E41" s="35" t="n"/>
      <c r="F41" s="2" t="n"/>
      <c r="G41" s="2" t="n"/>
      <c r="H41" s="2" t="n"/>
      <c r="I41" s="2" t="n"/>
      <c r="J41" s="2" t="n"/>
    </row>
    <row r="42" ht="27" customHeight="1">
      <c r="A42" s="40" t="inlineStr">
        <is>
          <t>Контроль равенств по отчетности:</t>
        </is>
      </c>
      <c r="B42" s="66" t="n"/>
      <c r="C42" s="67" t="n"/>
      <c r="D42" s="41" t="n"/>
      <c r="E42" s="41" t="n"/>
      <c r="F42" s="2" t="n"/>
      <c r="G42" s="2" t="n"/>
      <c r="H42" s="2" t="n"/>
      <c r="I42" s="2" t="n"/>
      <c r="J42" s="2" t="n"/>
    </row>
    <row r="43" ht="27" customHeight="1">
      <c r="A43" s="31" t="inlineStr">
        <is>
          <t>Выручка − себестоимость − валовая прибыль = 0</t>
        </is>
      </c>
      <c r="B43" s="71">
        <f>B4-B5-B6</f>
        <v/>
      </c>
      <c r="C43" s="71">
        <f>C4-C5-C6</f>
        <v/>
      </c>
      <c r="D43" s="35" t="n"/>
      <c r="E43" s="35" t="n"/>
      <c r="F43" s="2" t="n"/>
      <c r="G43" s="2" t="n"/>
      <c r="H43" s="2" t="n"/>
      <c r="I43" s="2" t="n"/>
      <c r="J43" s="2" t="n"/>
    </row>
    <row r="44" ht="27" customHeight="1">
      <c r="A44" s="27" t="inlineStr">
        <is>
          <t>Валовая − коммерч. − управленч. − прибыль от продаж = 0</t>
        </is>
      </c>
      <c r="B44" s="72">
        <f>B6-B7-B8-B9</f>
        <v/>
      </c>
      <c r="C44" s="72">
        <f>C6-C7-C8-C9</f>
        <v/>
      </c>
      <c r="D44" s="30" t="n"/>
      <c r="E44" s="30" t="n"/>
      <c r="F44" s="2" t="n"/>
      <c r="G44" s="2" t="n"/>
      <c r="H44" s="2" t="n"/>
      <c r="I44" s="2" t="n"/>
      <c r="J44" s="2" t="n"/>
    </row>
    <row r="45" ht="27" customHeight="1">
      <c r="A45" s="31" t="inlineStr">
        <is>
          <t>Выручка по направлениям − общая выручка = 0</t>
        </is>
      </c>
      <c r="B45" s="71">
        <f>SUM(B23:B28)-B4</f>
        <v/>
      </c>
      <c r="C45" s="71">
        <f>SUM(C23:C28)-C4</f>
        <v/>
      </c>
      <c r="D45" s="35" t="n"/>
      <c r="E45" s="35" t="n"/>
      <c r="F45" s="2" t="n"/>
      <c r="G45" s="2" t="n"/>
      <c r="H45" s="2" t="n"/>
      <c r="I45" s="2" t="n"/>
      <c r="J45" s="2" t="n"/>
    </row>
    <row r="46" ht="22" customHeight="1">
      <c r="A46" s="73" t="inlineStr">
        <is>
          <t>Активы − капитал − краткосрочные − долгосрочные = 0</t>
        </is>
      </c>
      <c r="B46" s="74">
        <f>B33-B38-B39-B40</f>
        <v/>
      </c>
      <c r="C46" s="74">
        <f>C33-C38-C39-C40</f>
        <v/>
      </c>
      <c r="D46" s="74">
        <f>D33-D38-D39-D40</f>
        <v/>
      </c>
      <c r="E46" s="73" t="inlineStr">
        <is>
          <t>Проверка баланса на три даты. Должно быть 0.</t>
        </is>
      </c>
      <c r="F46" s="2" t="n"/>
      <c r="G46" s="2" t="n"/>
      <c r="H46" s="2" t="n"/>
      <c r="I46" s="2" t="n"/>
      <c r="J46" s="2" t="n"/>
    </row>
    <row r="47" ht="62" customHeight="1">
      <c r="A47" s="75" t="inlineStr">
        <is>
          <t>Пересчет 2024 в отчете за 2025: основные средства 1150 434 810,069 → 456 703,330; дебиторка 1230 551 374,246 → 348 152,276 (длинная часть ушла в прочие внеоборотные); раздел IV 97 463,751 → 97 807,535; раздел V 403 523,242 → 403 179,458. Себестоимость 2120 сдвинута всего на 20,458 тыс. руб. Со старой редакцией баланса 2024 эти строки не смешивать.</t>
        </is>
      </c>
      <c r="F47" s="2" t="n"/>
      <c r="G47" s="2" t="n"/>
      <c r="H47" s="2" t="n"/>
      <c r="I47" s="2" t="n"/>
      <c r="J47" s="2" t="n"/>
    </row>
    <row r="48" ht="27" customHeight="1">
      <c r="F48" s="2" t="n"/>
      <c r="G48" s="2" t="n"/>
      <c r="H48" s="2" t="n"/>
      <c r="I48" s="2" t="n"/>
      <c r="J48" s="2" t="n"/>
    </row>
    <row r="49" ht="22" customHeight="1">
      <c r="A49" s="76" t="inlineStr">
        <is>
          <t>Дополнение из пояснений (значения, не формулы). ИИ эти строки не придумывает.</t>
        </is>
      </c>
      <c r="F49" s="2" t="n"/>
      <c r="G49" s="2" t="n"/>
      <c r="H49" s="2" t="n"/>
      <c r="I49" s="2" t="n"/>
      <c r="J49" s="2" t="n"/>
    </row>
    <row r="50" ht="30" customHeight="1">
      <c r="A50" s="77" t="inlineStr">
        <is>
          <t>Показатель</t>
        </is>
      </c>
      <c r="B50" s="77" t="inlineStr">
        <is>
          <t>2024</t>
        </is>
      </c>
      <c r="C50" s="77" t="inlineStr">
        <is>
          <t>2025</t>
        </is>
      </c>
      <c r="D50" s="77" t="inlineStr">
        <is>
          <t>31.12.2023, если есть</t>
        </is>
      </c>
      <c r="E50" s="77" t="inlineStr">
        <is>
          <t>Откуда</t>
        </is>
      </c>
      <c r="F50" s="2" t="n"/>
      <c r="G50" s="2" t="n"/>
      <c r="H50" s="2" t="n"/>
      <c r="I50" s="2" t="n"/>
      <c r="J50" s="2" t="n"/>
    </row>
    <row r="51" ht="48" customHeight="1">
      <c r="A51" s="78" t="inlineStr">
        <is>
          <t>НДПИ в расходах по обычным видам деятельности</t>
        </is>
      </c>
      <c r="B51" s="79" t="n">
        <v>573971.863</v>
      </c>
      <c r="C51" s="79" t="n">
        <v>401238.916</v>
      </c>
      <c r="D51" s="80" t="inlineStr">
        <is>
          <t>—</t>
        </is>
      </c>
      <c r="E51" s="78" t="inlineStr">
        <is>
          <t>Пояснение 12, внутри прочих затрат. Не строка 2410. В пояснении 10 начисление НДПИ за 2024 — 588 403,461 (без уточненных деклараций); в расчет затрат беру пояснение 12.</t>
        </is>
      </c>
      <c r="F51" s="2" t="n"/>
      <c r="G51" s="2" t="n"/>
      <c r="H51" s="2" t="n"/>
      <c r="I51" s="2" t="n"/>
      <c r="J51" s="2" t="n"/>
    </row>
    <row r="52" ht="48" customHeight="1">
      <c r="A52" s="78" t="inlineStr">
        <is>
          <t>НДД в расходах по обычным видам деятельности</t>
        </is>
      </c>
      <c r="B52" s="79" t="n">
        <v>172891.177</v>
      </c>
      <c r="C52" s="79" t="n">
        <v>124338.711</v>
      </c>
      <c r="D52" s="80" t="inlineStr">
        <is>
          <t>—</t>
        </is>
      </c>
      <c r="E52" s="78" t="inlineStr">
        <is>
          <t>Пояснение 12. В пояснении 10 за 2024 указано 172 810,003. Для элементов затрат — пояснение 12.</t>
        </is>
      </c>
      <c r="F52" s="2" t="n"/>
      <c r="G52" s="2" t="n"/>
      <c r="H52" s="2" t="n"/>
      <c r="I52" s="2" t="n"/>
      <c r="J52" s="2" t="n"/>
    </row>
    <row r="53" ht="48" customHeight="1">
      <c r="A53" s="78" t="inlineStr">
        <is>
          <t>Возвратный (отрицательный) акциз</t>
        </is>
      </c>
      <c r="B53" s="79" t="n">
        <v>-319222.496</v>
      </c>
      <c r="C53" s="79" t="n">
        <v>-179499.64</v>
      </c>
      <c r="D53" s="80" t="inlineStr">
        <is>
          <t>—</t>
        </is>
      </c>
      <c r="E53" s="78" t="inlineStr">
        <is>
          <t>Пояснение 12. Отрицательное число уменьшает расходы. В 2025 модуль меньше.</t>
        </is>
      </c>
      <c r="F53" s="2" t="n"/>
      <c r="G53" s="2" t="n"/>
      <c r="H53" s="2" t="n"/>
      <c r="I53" s="2" t="n"/>
      <c r="J53" s="2" t="n"/>
    </row>
    <row r="54" ht="48" customHeight="1">
      <c r="A54" s="78" t="inlineStr">
        <is>
          <t>Обязательство по ликвидации ОС, поисковых активов и восстановлению ресурсов, конец года</t>
        </is>
      </c>
      <c r="B54" s="79" t="n">
        <v>27815.623</v>
      </c>
      <c r="C54" s="79" t="n">
        <v>34170.902</v>
      </c>
      <c r="D54" s="79" t="n">
        <v>29997.641</v>
      </c>
      <c r="E54" s="78" t="inlineStr">
        <is>
          <t>Пояснение 19. 31.12.2023 = начало 2024. Рост 2025 в пояснении в основном из-за снижения ставки дисконтирования.</t>
        </is>
      </c>
      <c r="F54" s="2" t="n"/>
      <c r="G54" s="2" t="n"/>
      <c r="H54" s="2" t="n"/>
      <c r="I54" s="2" t="n"/>
      <c r="J54" s="2" t="n"/>
    </row>
    <row r="55" ht="48" customHeight="1">
      <c r="A55" s="78" t="inlineStr">
        <is>
          <t>Курсовая разница, нетто (доход «+», расход «−»)</t>
        </is>
      </c>
      <c r="B55" s="79" t="n">
        <v>15941.648</v>
      </c>
      <c r="C55" s="79" t="n">
        <v>-25801.544</v>
      </c>
      <c r="D55" s="80" t="inlineStr">
        <is>
          <t>—</t>
        </is>
      </c>
      <c r="E55" s="78" t="inlineStr">
        <is>
          <t>Пояснение 14, свернуто. Валово 2025: доход 29 481,925, расход 55 283,469.</t>
        </is>
      </c>
      <c r="F55" s="2" t="n"/>
      <c r="G55" s="2" t="n"/>
      <c r="H55" s="2" t="n"/>
      <c r="I55" s="2" t="n"/>
      <c r="J55" s="2" t="n"/>
    </row>
    <row r="56" ht="48" customHeight="1">
      <c r="A56" s="78" t="inlineStr">
        <is>
          <t>Резерв под обесценение финансовых вложений, расход в ОФР</t>
        </is>
      </c>
      <c r="B56" s="79" t="n">
        <v>4154.551</v>
      </c>
      <c r="C56" s="79" t="n">
        <v>17917.292</v>
      </c>
      <c r="D56" s="80" t="inlineStr">
        <is>
          <t>—</t>
        </is>
      </c>
      <c r="E56" s="78" t="inlineStr">
        <is>
          <t>Пояснение 14, свернуто. В основном займы дочерним обществам за пределами РФ.</t>
        </is>
      </c>
      <c r="F56" s="2" t="n"/>
      <c r="G56" s="2" t="n"/>
      <c r="H56" s="2" t="n"/>
      <c r="I56" s="2" t="n"/>
      <c r="J56" s="2" t="n"/>
    </row>
    <row r="57" ht="48" customHeight="1">
      <c r="A57" s="78" t="inlineStr">
        <is>
          <t>Резерв по сомнительным долгам, расход в ОФР</t>
        </is>
      </c>
      <c r="B57" s="79" t="n">
        <v>3328.835</v>
      </c>
      <c r="C57" s="79" t="n">
        <v>13700.124</v>
      </c>
      <c r="D57" s="80" t="inlineStr">
        <is>
          <t>—</t>
        </is>
      </c>
      <c r="E57" s="78" t="inlineStr">
        <is>
          <t>Пояснение 14, свернуто.</t>
        </is>
      </c>
      <c r="F57" s="2" t="n"/>
      <c r="G57" s="2" t="n"/>
      <c r="H57" s="2" t="n"/>
      <c r="I57" s="2" t="n"/>
      <c r="J57" s="2" t="n"/>
    </row>
    <row r="58" ht="48" customHeight="1">
      <c r="A58" s="81" t="inlineStr">
        <is>
          <t>Продажа объектов незавершенного строительства и прочих активов, доходы</t>
        </is>
      </c>
      <c r="B58" s="82" t="n">
        <v>10393.351</v>
      </c>
      <c r="C58" s="82" t="n">
        <v>80203.649</v>
      </c>
      <c r="D58" s="83" t="inlineStr">
        <is>
          <t>—</t>
        </is>
      </c>
      <c r="E58" s="81" t="inlineStr">
        <is>
          <t>Пояснение 14. Большой оборот, результат маленький.</t>
        </is>
      </c>
      <c r="F58" s="2" t="n"/>
      <c r="G58" s="2" t="n"/>
      <c r="H58" s="2" t="n"/>
      <c r="I58" s="2" t="n"/>
      <c r="J58" s="2" t="n"/>
    </row>
    <row r="59" ht="48" customHeight="1">
      <c r="A59" s="81" t="inlineStr">
        <is>
          <t>Продажа объектов незавершенного строительства и прочих активов, расходы</t>
        </is>
      </c>
      <c r="B59" s="82" t="n">
        <v>9446.977999999999</v>
      </c>
      <c r="C59" s="82" t="n">
        <v>79789.552</v>
      </c>
      <c r="D59" s="83" t="inlineStr">
        <is>
          <t>—</t>
        </is>
      </c>
      <c r="E59" s="81" t="inlineStr">
        <is>
          <t>Пояснение 14. Пара к строке доходов, не самостоятельный операционный провал.</t>
        </is>
      </c>
      <c r="F59" s="2" t="n"/>
      <c r="G59" s="2" t="n"/>
      <c r="H59" s="2" t="n"/>
      <c r="I59" s="2" t="n"/>
      <c r="J59" s="2" t="n"/>
    </row>
    <row r="60" ht="24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 ht="22" customHeight="1">
      <c r="A61" s="84" t="inlineStr">
        <is>
          <t>Чего в отчетности для этой работы нет. Подставлять оценкой нельзя.</t>
        </is>
      </c>
      <c r="F61" s="2" t="n"/>
      <c r="G61" s="2" t="n"/>
      <c r="H61" s="2" t="n"/>
      <c r="I61" s="2" t="n"/>
      <c r="J61" s="2" t="n"/>
    </row>
    <row r="62" ht="32" customHeight="1">
      <c r="A62" s="75" t="inlineStr">
        <is>
          <t>Нет единого натурального объема реализации и средней цены. В пояснении 11 только выручка в рублях по видам. Цепную подстановку «объем × цена» не делаю.</t>
        </is>
      </c>
      <c r="F62" s="2" t="n"/>
      <c r="G62" s="2" t="n"/>
      <c r="H62" s="2" t="n"/>
      <c r="I62" s="2" t="n"/>
      <c r="J62" s="2" t="n"/>
    </row>
    <row r="63" ht="32" customHeight="1">
      <c r="A63" s="75" t="inlineStr">
        <is>
          <t>Нет доли условно-постоянных затрат. В стрессе вся себестоимость считается переменной. Для добычи это грубо: ремонт и промбезопасность так не сжимаются.</t>
        </is>
      </c>
      <c r="F63" s="2" t="n"/>
      <c r="G63" s="2" t="n"/>
      <c r="H63" s="2" t="n"/>
      <c r="I63" s="2" t="n"/>
      <c r="J63" s="2" t="n"/>
    </row>
    <row r="64" ht="32" customHeight="1">
      <c r="A64" s="75" t="inlineStr">
        <is>
          <t>Нет планового CAPEX на следующий год. В стрессе оставлены фактические денежные платежи 2025: строка 4221 и строка 4125.</t>
        </is>
      </c>
      <c r="F64" s="2" t="n"/>
      <c r="G64" s="2" t="n"/>
      <c r="H64" s="2" t="n"/>
      <c r="I64" s="2" t="n"/>
      <c r="J64" s="2" t="n"/>
    </row>
    <row r="65" ht="32" customHeight="1">
      <c r="A65" s="85" t="inlineStr">
        <is>
          <t>Строка 2460 перенесена суммой. Состав в выгрузке не расшифрован, поэтому в стрессе она просто сохраняется.</t>
        </is>
      </c>
    </row>
    <row r="66" ht="24" customHeight="1"/>
    <row r="67" ht="24" customHeight="1"/>
    <row r="68" ht="24" customHeight="1"/>
    <row r="69" ht="24" customHeight="1"/>
  </sheetData>
  <mergeCells count="11">
    <mergeCell ref="A42:C42"/>
    <mergeCell ref="A1:J1"/>
    <mergeCell ref="A62:E62"/>
    <mergeCell ref="A65:E65"/>
    <mergeCell ref="A64:E64"/>
    <mergeCell ref="A49:E49"/>
    <mergeCell ref="A63:E63"/>
    <mergeCell ref="A47:E47"/>
    <mergeCell ref="A2:J2"/>
    <mergeCell ref="A61:E61"/>
    <mergeCell ref="A31:E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3" topLeftCell="A10" activePane="bottomLeft" state="frozen"/>
      <selection pane="bottomLeft" activeCell="A15" sqref="A15:E15"/>
    </sheetView>
  </sheetViews>
  <sheetFormatPr baseColWidth="8" defaultRowHeight="15"/>
  <cols>
    <col width="46" customWidth="1" min="1" max="1"/>
    <col width="22" customWidth="1" min="2" max="4"/>
    <col width="21" customWidth="1" min="5" max="5"/>
    <col width="22" customWidth="1" min="6" max="6"/>
    <col width="62" customWidth="1" min="7" max="7"/>
    <col width="22" customWidth="1" min="8" max="10"/>
  </cols>
  <sheetData>
    <row r="1" ht="24" customHeight="1">
      <c r="A1" s="60" t="inlineStr">
        <is>
          <t>Задание 2. Горизонтальный анализ</t>
        </is>
      </c>
    </row>
    <row r="2" ht="2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2.1" customHeight="1">
      <c r="A3" s="5" t="inlineStr">
        <is>
          <t>Показатель</t>
        </is>
      </c>
      <c r="B3" s="5" t="n">
        <v>2024</v>
      </c>
      <c r="C3" s="5" t="n">
        <v>2025</v>
      </c>
      <c r="D3" s="5" t="inlineStr">
        <is>
          <t>Изменение, млн руб.</t>
        </is>
      </c>
      <c r="E3" s="5" t="inlineStr">
        <is>
          <t>Темп роста, %</t>
        </is>
      </c>
      <c r="F3" s="5" t="inlineStr">
        <is>
          <t>Темп прироста, %</t>
        </is>
      </c>
      <c r="G3" s="5" t="inlineStr">
        <is>
          <t>Экономический вывод</t>
        </is>
      </c>
      <c r="H3" s="1" t="n"/>
      <c r="I3" s="1" t="n"/>
      <c r="J3" s="1" t="n"/>
    </row>
    <row r="4" ht="24" customHeight="1">
      <c r="A4" s="6" t="inlineStr">
        <is>
          <t>Выручка</t>
        </is>
      </c>
      <c r="B4" s="65">
        <f>'1 Исходные данные'!B4</f>
        <v/>
      </c>
      <c r="C4" s="65">
        <f>'1 Исходные данные'!C4</f>
        <v/>
      </c>
      <c r="D4" s="86">
        <f>C4-B4</f>
        <v/>
      </c>
      <c r="E4" s="87">
        <f>C4/B4*100</f>
        <v/>
      </c>
      <c r="F4" s="8">
        <f>E4-100</f>
        <v/>
      </c>
      <c r="G4" s="6" t="inlineStr">
        <is>
          <t>Выручка снизилась</t>
        </is>
      </c>
      <c r="H4" s="2" t="n"/>
      <c r="I4" s="2" t="n"/>
      <c r="J4" s="2" t="n"/>
    </row>
    <row r="5" ht="24" customHeight="1">
      <c r="A5" s="4" t="inlineStr">
        <is>
          <t>Себестоимость продаж</t>
        </is>
      </c>
      <c r="B5" s="63">
        <f>'1 Исходные данные'!B5</f>
        <v/>
      </c>
      <c r="C5" s="63">
        <f>'1 Исходные данные'!C5</f>
        <v/>
      </c>
      <c r="D5" s="88">
        <f>C5-B5</f>
        <v/>
      </c>
      <c r="E5" s="89">
        <f>C5/B5*100</f>
        <v/>
      </c>
      <c r="F5" s="11">
        <f>E5-100</f>
        <v/>
      </c>
      <c r="G5" s="4" t="inlineStr">
        <is>
          <t>Затраты сократились медленнее выручки</t>
        </is>
      </c>
      <c r="H5" s="2" t="n"/>
      <c r="I5" s="2" t="n"/>
      <c r="J5" s="2" t="n"/>
    </row>
    <row r="6" ht="24" customHeight="1">
      <c r="A6" s="6" t="inlineStr">
        <is>
          <t>Валовая прибыль</t>
        </is>
      </c>
      <c r="B6" s="65">
        <f>'1 Исходные данные'!B6</f>
        <v/>
      </c>
      <c r="C6" s="65">
        <f>'1 Исходные данные'!C6</f>
        <v/>
      </c>
      <c r="D6" s="86">
        <f>C6-B6</f>
        <v/>
      </c>
      <c r="E6" s="87">
        <f>C6/B6*100</f>
        <v/>
      </c>
      <c r="F6" s="8">
        <f>E6-100</f>
        <v/>
      </c>
      <c r="G6" s="6" t="inlineStr">
        <is>
          <t>Валовая прибыль уменьшилась</t>
        </is>
      </c>
      <c r="H6" s="2" t="n"/>
      <c r="I6" s="2" t="n"/>
      <c r="J6" s="2" t="n"/>
    </row>
    <row r="7" ht="24" customHeight="1">
      <c r="A7" s="4" t="inlineStr">
        <is>
          <t>Коммерческие расходы</t>
        </is>
      </c>
      <c r="B7" s="63">
        <f>'1 Исходные данные'!B7</f>
        <v/>
      </c>
      <c r="C7" s="63">
        <f>'1 Исходные данные'!C7</f>
        <v/>
      </c>
      <c r="D7" s="88">
        <f>C7-B7</f>
        <v/>
      </c>
      <c r="E7" s="89">
        <f>C7/B7*100</f>
        <v/>
      </c>
      <c r="F7" s="11">
        <f>E7-100</f>
        <v/>
      </c>
      <c r="G7" s="4" t="inlineStr">
        <is>
          <t>Коммерческие расходы сократились</t>
        </is>
      </c>
      <c r="H7" s="2" t="n"/>
      <c r="I7" s="2" t="n"/>
      <c r="J7" s="2" t="n"/>
    </row>
    <row r="8" ht="24" customHeight="1">
      <c r="A8" s="6" t="inlineStr">
        <is>
          <t>Управленческие расходы</t>
        </is>
      </c>
      <c r="B8" s="65">
        <f>'1 Исходные данные'!B8</f>
        <v/>
      </c>
      <c r="C8" s="65">
        <f>'1 Исходные данные'!C8</f>
        <v/>
      </c>
      <c r="D8" s="86">
        <f>C8-B8</f>
        <v/>
      </c>
      <c r="E8" s="87">
        <f>C8/B8*100</f>
        <v/>
      </c>
      <c r="F8" s="8">
        <f>E8-100</f>
        <v/>
      </c>
      <c r="G8" s="6" t="inlineStr">
        <is>
          <t>Управленческие расходы почти стабильны</t>
        </is>
      </c>
      <c r="H8" s="2" t="n"/>
      <c r="I8" s="2" t="n"/>
      <c r="J8" s="2" t="n"/>
    </row>
    <row r="9" ht="24" customHeight="1">
      <c r="A9" s="4" t="inlineStr">
        <is>
          <t>Прибыль от продаж</t>
        </is>
      </c>
      <c r="B9" s="63">
        <f>'1 Исходные данные'!B9</f>
        <v/>
      </c>
      <c r="C9" s="63">
        <f>'1 Исходные данные'!C9</f>
        <v/>
      </c>
      <c r="D9" s="88">
        <f>C9-B9</f>
        <v/>
      </c>
      <c r="E9" s="89">
        <f>C9/B9*100</f>
        <v/>
      </c>
      <c r="F9" s="11">
        <f>E9-100</f>
        <v/>
      </c>
      <c r="G9" s="4" t="inlineStr">
        <is>
          <t>Основное падение уже на уровне продаж</t>
        </is>
      </c>
      <c r="H9" s="2" t="n"/>
      <c r="I9" s="2" t="n"/>
      <c r="J9" s="2" t="n"/>
    </row>
    <row r="10" ht="24" customHeight="1">
      <c r="A10" s="6" t="inlineStr">
        <is>
          <t>Прибыль до налогообложения</t>
        </is>
      </c>
      <c r="B10" s="65">
        <f>'1 Исходные данные'!B10</f>
        <v/>
      </c>
      <c r="C10" s="65">
        <f>'1 Исходные данные'!C10</f>
        <v/>
      </c>
      <c r="D10" s="86">
        <f>C10-B10</f>
        <v/>
      </c>
      <c r="E10" s="87">
        <f>C10/B10*100</f>
        <v/>
      </c>
      <c r="F10" s="8">
        <f>E10-100</f>
        <v/>
      </c>
      <c r="G10" s="6" t="inlineStr">
        <is>
          <t>Ниже прибыли от продаж просадка сильнее. Одной строкой 2350 это не объясняется: см. пояснение 14.</t>
        </is>
      </c>
      <c r="H10" s="2" t="n"/>
      <c r="I10" s="2" t="n"/>
      <c r="J10" s="2" t="n"/>
    </row>
    <row r="11" ht="24" customHeight="1">
      <c r="A11" s="4" t="inlineStr">
        <is>
          <t>Чистая прибыль</t>
        </is>
      </c>
      <c r="B11" s="63">
        <f>'1 Исходные данные'!B11</f>
        <v/>
      </c>
      <c r="C11" s="63">
        <f>'1 Исходные данные'!C11</f>
        <v/>
      </c>
      <c r="D11" s="88">
        <f>C11-B11</f>
        <v/>
      </c>
      <c r="E11" s="89">
        <f>C11/B11*100</f>
        <v/>
      </c>
      <c r="F11" s="11">
        <f>E11-100</f>
        <v/>
      </c>
      <c r="G11" s="4" t="inlineStr">
        <is>
          <t>Чистая прибыль сократилась</t>
        </is>
      </c>
      <c r="H11" s="2" t="n"/>
      <c r="I11" s="2" t="n"/>
      <c r="J11" s="2" t="n"/>
    </row>
    <row r="12" ht="32" customHeight="1">
      <c r="A12" s="90" t="inlineStr">
        <is>
          <t>НДПИ в расходах по обычным видам</t>
        </is>
      </c>
      <c r="B12" s="91">
        <f>'1 Исходные данные'!B51</f>
        <v/>
      </c>
      <c r="C12" s="91">
        <f>'1 Исходные данные'!C51</f>
        <v/>
      </c>
      <c r="D12" s="92">
        <f>C12-B12</f>
        <v/>
      </c>
      <c r="E12" s="93">
        <f>IF(B12=0,"—",C12/B12*100)</f>
        <v/>
      </c>
      <c r="F12" s="93">
        <f>IF(B12=0,"—",E12-100)</f>
        <v/>
      </c>
      <c r="G12" s="90" t="inlineStr">
        <is>
          <t>НДПИ упал сильнее выручки. Это не экономия на добыче.</t>
        </is>
      </c>
      <c r="H12" s="2" t="n"/>
      <c r="I12" s="2" t="n"/>
      <c r="J12" s="2" t="n"/>
    </row>
    <row r="13" ht="32" customHeight="1">
      <c r="A13" s="94" t="inlineStr">
        <is>
          <t>НДД в расходах по обычным видам</t>
        </is>
      </c>
      <c r="B13" s="91">
        <f>'1 Исходные данные'!B52</f>
        <v/>
      </c>
      <c r="C13" s="91">
        <f>'1 Исходные данные'!C52</f>
        <v/>
      </c>
      <c r="D13" s="92">
        <f>C13-B13</f>
        <v/>
      </c>
      <c r="E13" s="93">
        <f>IF(B13=0,"—",C13/B13*100)</f>
        <v/>
      </c>
      <c r="F13" s="93">
        <f>IF(B13=0,"—",E13-100)</f>
        <v/>
      </c>
      <c r="G13" s="90" t="inlineStr">
        <is>
          <t>НДД тоже ниже. К строке 2410 его прибавлять нельзя.</t>
        </is>
      </c>
      <c r="H13" s="2" t="n"/>
      <c r="I13" s="2" t="n"/>
      <c r="J13" s="2" t="n"/>
    </row>
    <row r="14" ht="32" customHeight="1">
      <c r="A14" s="94" t="inlineStr">
        <is>
          <t>Возвратный (отрицательный) акциз</t>
        </is>
      </c>
      <c r="B14" s="91">
        <f>'1 Исходные данные'!B53</f>
        <v/>
      </c>
      <c r="C14" s="91">
        <f>'1 Исходные данные'!C53</f>
        <v/>
      </c>
      <c r="D14" s="92">
        <f>C14-B14</f>
        <v/>
      </c>
      <c r="E14" s="93">
        <f>IF(B14=0,"—",C14/B14*100)</f>
        <v/>
      </c>
      <c r="F14" s="93">
        <f>IF(B14=0,"—",E14-100)</f>
        <v/>
      </c>
      <c r="G14" s="90" t="inlineStr">
        <is>
          <t>Модуль акциза меньше, поддержка затрат ослабла.</t>
        </is>
      </c>
      <c r="H14" s="2" t="n"/>
      <c r="I14" s="2" t="n"/>
      <c r="J14" s="2" t="n"/>
    </row>
    <row r="15" ht="27" customHeight="1">
      <c r="A15" s="95" t="inlineStr">
        <is>
          <t>Отраслевой анализ причин изменения результата</t>
        </is>
      </c>
      <c r="F15" s="2" t="n"/>
      <c r="G15" s="2" t="n"/>
      <c r="H15" s="2" t="n"/>
      <c r="I15" s="2" t="n"/>
      <c r="J15" s="2" t="n"/>
    </row>
    <row r="16" ht="120" customHeight="1">
      <c r="A16" s="24" t="inlineStr">
        <is>
          <t>По пояснению 11, выручка от реализации собственной нефти снизилась на 162 286,909 млн руб. — 88,3% общего падения выручки.</t>
        </is>
      </c>
      <c r="B16" s="24" t="n"/>
      <c r="C16" s="24" t="n"/>
      <c r="D16" s="24" t="n"/>
      <c r="E16" s="24" t="inlineStr">
        <is>
          <t>Падение нефтяной выручки не следует без проверки считать падением физической добычи: требуются цены, объемы, структура и курсовые факторы.</t>
        </is>
      </c>
      <c r="F16" s="2" t="n"/>
      <c r="G16" s="2" t="n"/>
      <c r="H16" s="2" t="n"/>
      <c r="I16" s="2" t="n"/>
      <c r="J16" s="2" t="n"/>
    </row>
    <row r="17" ht="120" customHeight="1">
      <c r="A17" s="24" t="inlineStr">
        <is>
          <t>Выручка от нефтепродуктов и нефтехимии снизилась на 26 167,960 млн руб.; сокращение расходов на 6,4% не компенсировало снижение выручки на 11,8%.</t>
        </is>
      </c>
      <c r="B17" s="24" t="n"/>
      <c r="C17" s="24" t="n"/>
      <c r="D17" s="24" t="n"/>
      <c r="E17" s="24" t="inlineStr">
        <is>
          <t>НДПИ, НДД и возвратный акциз вынесены в строки 12–14 по пояснению 12. Цену, физический объем и логистику из РСБУ по-прежнему не выделить.</t>
        </is>
      </c>
      <c r="F17" s="2" t="n"/>
      <c r="G17" s="2" t="n"/>
      <c r="H17" s="2" t="n"/>
      <c r="I17" s="2" t="n"/>
      <c r="J17" s="2" t="n"/>
    </row>
    <row r="18" ht="105" customHeight="1">
      <c r="A18" s="24" t="inlineStr">
        <is>
          <t>Чистая прибыль снизилась быстрее операционной (−42,0% против −30,2%): проверены прочие статьи и налог.</t>
        </is>
      </c>
      <c r="B18" s="24" t="n"/>
      <c r="C18" s="24" t="n"/>
      <c r="D18" s="24" t="n"/>
      <c r="E18" s="24" t="inlineStr">
        <is>
          <t>Прочие расходы выросли на 127 934,059 млн руб.; само по себе это НЕ доказывает конкретную причину без детализации пояснения 14.</t>
        </is>
      </c>
      <c r="F18" s="2" t="n"/>
      <c r="G18" s="2" t="n"/>
      <c r="H18" s="2" t="n"/>
      <c r="I18" s="2" t="n"/>
      <c r="J18" s="2" t="n"/>
    </row>
    <row r="19" ht="24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 ht="24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 ht="24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 ht="24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 ht="24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 ht="24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 ht="24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 ht="2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 ht="2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 ht="24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 ht="24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 ht="24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 ht="24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 ht="24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 ht="24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 ht="24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 ht="24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 ht="24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 ht="24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 ht="24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 ht="2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 ht="24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 ht="24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 ht="24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 ht="24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 ht="24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 ht="24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 ht="24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 ht="24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 ht="24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 ht="24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 ht="2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 ht="2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 ht="2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 ht="2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 ht="2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 ht="2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 ht="24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 ht="24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 ht="24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 ht="24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 ht="24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 ht="24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 ht="24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 ht="24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 ht="24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 ht="24" customHeight="1"/>
    <row r="66" ht="24" customHeight="1"/>
    <row r="67" ht="24" customHeight="1"/>
    <row r="68" ht="24" customHeight="1"/>
    <row r="69" ht="24" customHeight="1"/>
  </sheetData>
  <mergeCells count="2">
    <mergeCell ref="A1:J1"/>
    <mergeCell ref="A15:E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3" topLeftCell="A4" activePane="bottomLeft" state="frozen"/>
      <selection pane="bottomLeft" activeCell="E13" sqref="A11:E13"/>
    </sheetView>
  </sheetViews>
  <sheetFormatPr baseColWidth="8" defaultRowHeight="15"/>
  <cols>
    <col width="46" customWidth="1" min="1" max="1"/>
    <col width="22" customWidth="1" min="2" max="4"/>
    <col width="48" customWidth="1" min="5" max="5"/>
    <col width="22" customWidth="1" min="6" max="10"/>
  </cols>
  <sheetData>
    <row r="1" ht="24" customHeight="1">
      <c r="A1" s="60" t="inlineStr">
        <is>
          <t>Задание 3. Вертикальный анализ</t>
        </is>
      </c>
    </row>
    <row r="2" ht="2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2.1" customHeight="1">
      <c r="A3" s="5" t="inlineStr">
        <is>
          <t>Показатель</t>
        </is>
      </c>
      <c r="B3" s="5" t="inlineStr">
        <is>
          <t>2024, %</t>
        </is>
      </c>
      <c r="C3" s="5" t="inlineStr">
        <is>
          <t>2025, %</t>
        </is>
      </c>
      <c r="D3" s="5" t="inlineStr">
        <is>
          <t>Изменение, п. п.</t>
        </is>
      </c>
      <c r="E3" s="5" t="inlineStr">
        <is>
          <t>Интерпретация</t>
        </is>
      </c>
      <c r="F3" s="1" t="n"/>
      <c r="G3" s="1" t="n"/>
      <c r="H3" s="1" t="n"/>
      <c r="I3" s="1" t="n"/>
      <c r="J3" s="1" t="n"/>
    </row>
    <row r="4" ht="24" customHeight="1">
      <c r="A4" s="15" t="inlineStr">
        <is>
          <t>Себестоимость продаж/Выручка</t>
        </is>
      </c>
      <c r="B4" s="63">
        <f>'1 Исходные данные'!B5/'1 Исходные данные'!B4*100</f>
        <v/>
      </c>
      <c r="C4" s="63">
        <f>'1 Исходные данные'!C5/'1 Исходные данные'!C4*100</f>
        <v/>
      </c>
      <c r="D4" s="63">
        <f>C4-B4</f>
        <v/>
      </c>
      <c r="E4" s="4" t="inlineStr">
        <is>
          <t>Доля себестоимости увеличилась</t>
        </is>
      </c>
      <c r="F4" s="2" t="n"/>
      <c r="G4" s="2" t="n"/>
      <c r="H4" s="2" t="n"/>
      <c r="I4" s="2" t="n"/>
      <c r="J4" s="2" t="n"/>
    </row>
    <row r="5" ht="24" customHeight="1">
      <c r="A5" s="16" t="inlineStr">
        <is>
          <t>Валовая прибыль/Выручка</t>
        </is>
      </c>
      <c r="B5" s="65">
        <f>'1 Исходные данные'!B6/'1 Исходные данные'!B4*100</f>
        <v/>
      </c>
      <c r="C5" s="65">
        <f>'1 Исходные данные'!C6/'1 Исходные данные'!C4*100</f>
        <v/>
      </c>
      <c r="D5" s="8">
        <f>C5-B5</f>
        <v/>
      </c>
      <c r="E5" s="6" t="inlineStr">
        <is>
          <t>Валовая маржа снизилась</t>
        </is>
      </c>
      <c r="F5" s="2" t="n"/>
      <c r="G5" s="2" t="n"/>
      <c r="H5" s="2" t="n"/>
      <c r="I5" s="2" t="n"/>
      <c r="J5" s="2" t="n"/>
    </row>
    <row r="6" ht="24" customHeight="1">
      <c r="A6" s="15" t="inlineStr">
        <is>
          <t>Коммерческие расходы/Выручка</t>
        </is>
      </c>
      <c r="B6" s="63">
        <f>'1 Исходные данные'!B7/'1 Исходные данные'!B4*100</f>
        <v/>
      </c>
      <c r="C6" s="63">
        <f>'1 Исходные данные'!C7/'1 Исходные данные'!C4*100</f>
        <v/>
      </c>
      <c r="D6" s="11">
        <f>C6-B6</f>
        <v/>
      </c>
      <c r="E6" s="4" t="inlineStr">
        <is>
          <t>Доля коммерческих расходов чуть ниже</t>
        </is>
      </c>
      <c r="F6" s="2" t="n"/>
      <c r="G6" s="2" t="n"/>
      <c r="H6" s="2" t="n"/>
      <c r="I6" s="2" t="n"/>
      <c r="J6" s="2" t="n"/>
    </row>
    <row r="7" ht="24" customHeight="1">
      <c r="A7" s="16" t="inlineStr">
        <is>
          <t>Управленческие расходы/Выручка</t>
        </is>
      </c>
      <c r="B7" s="65">
        <f>'1 Исходные данные'!B8/'1 Исходные данные'!B4*100</f>
        <v/>
      </c>
      <c r="C7" s="65">
        <f>'1 Исходные данные'!C8/'1 Исходные данные'!C4*100</f>
        <v/>
      </c>
      <c r="D7" s="8">
        <f>C7-B7</f>
        <v/>
      </c>
      <c r="E7" s="6" t="inlineStr">
        <is>
          <t>Управленческие расходы стали тяжелее</t>
        </is>
      </c>
      <c r="F7" s="2" t="n"/>
      <c r="G7" s="2" t="n"/>
      <c r="H7" s="2" t="n"/>
      <c r="I7" s="2" t="n"/>
      <c r="J7" s="2" t="n"/>
    </row>
    <row r="8" ht="24" customHeight="1">
      <c r="A8" s="15" t="inlineStr">
        <is>
          <t>Прибыль от продаж/Выручка</t>
        </is>
      </c>
      <c r="B8" s="63">
        <f>'1 Исходные данные'!B9/'1 Исходные данные'!B4*100</f>
        <v/>
      </c>
      <c r="C8" s="63">
        <f>'1 Исходные данные'!C9/'1 Исходные данные'!C4*100</f>
        <v/>
      </c>
      <c r="D8" s="11">
        <f>C8-B8</f>
        <v/>
      </c>
      <c r="E8" s="4" t="inlineStr">
        <is>
          <t>Операционная маржа снизилась</t>
        </is>
      </c>
      <c r="F8" s="2" t="n"/>
      <c r="G8" s="2" t="n"/>
      <c r="H8" s="2" t="n"/>
      <c r="I8" s="2" t="n"/>
      <c r="J8" s="2" t="n"/>
    </row>
    <row r="9" ht="24" customHeight="1">
      <c r="A9" s="16" t="inlineStr">
        <is>
          <t>Чистая прибыль/Выручка</t>
        </is>
      </c>
      <c r="B9" s="65">
        <f>'1 Исходные данные'!B11/'1 Исходные данные'!B4*100</f>
        <v/>
      </c>
      <c r="C9" s="65">
        <f>'1 Исходные данные'!C11/'1 Исходные данные'!C4*100</f>
        <v/>
      </c>
      <c r="D9" s="8">
        <f>C9-B9</f>
        <v/>
      </c>
      <c r="E9" s="6" t="inlineStr">
        <is>
          <t>Чистая маржа снизилась</t>
        </is>
      </c>
      <c r="F9" s="2" t="n"/>
      <c r="G9" s="2" t="n"/>
      <c r="H9" s="2" t="n"/>
      <c r="I9" s="2" t="n"/>
      <c r="J9" s="2" t="n"/>
    </row>
    <row r="10" ht="24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7" customHeight="1">
      <c r="F11" s="2" t="n"/>
      <c r="G11" s="2" t="n"/>
      <c r="H11" s="2" t="n"/>
      <c r="I11" s="2" t="n"/>
      <c r="J11" s="2" t="n"/>
    </row>
    <row r="12" ht="75.95" customHeight="1">
      <c r="F12" s="2" t="n"/>
      <c r="G12" s="2" t="n"/>
      <c r="H12" s="2" t="n"/>
      <c r="I12" s="2" t="n"/>
      <c r="J12" s="2" t="n"/>
    </row>
    <row r="13" ht="60.95" customHeight="1">
      <c r="F13" s="2" t="n"/>
      <c r="G13" s="2" t="n"/>
      <c r="H13" s="2" t="n"/>
      <c r="I13" s="2" t="n"/>
      <c r="J13" s="2" t="n"/>
    </row>
    <row r="14" ht="24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 ht="2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 ht="24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 ht="24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 ht="24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 ht="24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 ht="24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 ht="24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 ht="24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 ht="24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 ht="24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 ht="24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 ht="2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 ht="2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 ht="24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 ht="24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 ht="24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 ht="24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 ht="24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 ht="24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 ht="24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 ht="24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 ht="24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 ht="24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 ht="24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 ht="2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 ht="24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 ht="24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 ht="24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 ht="24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 ht="24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 ht="24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 ht="24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 ht="24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 ht="24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 ht="24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 ht="2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 ht="2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 ht="2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 ht="2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 ht="2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 ht="2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 ht="24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 ht="24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 ht="24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 ht="24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 ht="24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 ht="24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 ht="24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 ht="24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 ht="24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 ht="24" customHeight="1"/>
    <row r="66" ht="24" customHeight="1"/>
    <row r="67" ht="24" customHeight="1"/>
    <row r="68" ht="24" customHeight="1"/>
    <row r="69" ht="24" customHeight="1"/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3" topLeftCell="A4" activePane="bottomLeft" state="frozen"/>
      <selection pane="bottomLeft" activeCell="E14" sqref="A11:E14"/>
    </sheetView>
  </sheetViews>
  <sheetFormatPr baseColWidth="8" defaultRowHeight="15"/>
  <cols>
    <col width="46" customWidth="1" min="1" max="1"/>
    <col width="22" customWidth="1" min="2" max="4"/>
    <col width="48" customWidth="1" min="5" max="5"/>
    <col width="22" customWidth="1" min="6" max="10"/>
  </cols>
  <sheetData>
    <row r="1" ht="24" customHeight="1">
      <c r="A1" s="60" t="inlineStr">
        <is>
          <t>Задание 4. Маржинальность и EBITDA</t>
        </is>
      </c>
    </row>
    <row r="2" ht="2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2.1" customHeight="1">
      <c r="A3" s="5" t="inlineStr">
        <is>
          <t>Показатель</t>
        </is>
      </c>
      <c r="B3" s="5" t="n">
        <v>2024</v>
      </c>
      <c r="C3" s="5" t="n">
        <v>2025</v>
      </c>
      <c r="D3" s="5" t="inlineStr">
        <is>
          <t>Изменение</t>
        </is>
      </c>
      <c r="E3" s="17" t="inlineStr">
        <is>
          <t>Формула</t>
        </is>
      </c>
      <c r="F3" s="1" t="n"/>
      <c r="G3" s="1" t="n"/>
      <c r="H3" s="1" t="n"/>
      <c r="I3" s="1" t="n"/>
      <c r="J3" s="1" t="n"/>
    </row>
    <row r="4" ht="24" customHeight="1">
      <c r="A4" s="4" t="inlineStr">
        <is>
          <t>Валовая маржа, %</t>
        </is>
      </c>
      <c r="B4" s="63">
        <f>'1 Исходные данные'!B6/'1 Исходные данные'!B4*100</f>
        <v/>
      </c>
      <c r="C4" s="63">
        <f>'1 Исходные данные'!C6/'1 Исходные данные'!C4*100</f>
        <v/>
      </c>
      <c r="D4" s="88">
        <f>C4-B4</f>
        <v/>
      </c>
      <c r="E4" s="15" t="inlineStr">
        <is>
          <t>Валовая прибыль / Выручка × 100 %</t>
        </is>
      </c>
      <c r="F4" s="2" t="n"/>
      <c r="G4" s="2" t="n"/>
      <c r="H4" s="2" t="n"/>
      <c r="I4" s="2" t="n"/>
      <c r="J4" s="2" t="n"/>
    </row>
    <row r="5" ht="24" customHeight="1">
      <c r="A5" s="6" t="inlineStr">
        <is>
          <t>Операционная маржа, %</t>
        </is>
      </c>
      <c r="B5" s="65">
        <f>'1 Исходные данные'!B9/'1 Исходные данные'!B4*100</f>
        <v/>
      </c>
      <c r="C5" s="65">
        <f>'1 Исходные данные'!C9/'1 Исходные данные'!C4*100</f>
        <v/>
      </c>
      <c r="D5" s="86">
        <f>C5-B5</f>
        <v/>
      </c>
      <c r="E5" s="16" t="inlineStr">
        <is>
          <t>Прибыль от продаж / Выручка × 100 %</t>
        </is>
      </c>
      <c r="F5" s="2" t="n"/>
      <c r="G5" s="2" t="n"/>
      <c r="H5" s="2" t="n"/>
      <c r="I5" s="2" t="n"/>
      <c r="J5" s="2" t="n"/>
    </row>
    <row r="6" ht="24" customHeight="1">
      <c r="A6" s="4" t="inlineStr">
        <is>
          <t>Чистая маржа, %</t>
        </is>
      </c>
      <c r="B6" s="63">
        <f>'1 Исходные данные'!B11/'1 Исходные данные'!B4*100</f>
        <v/>
      </c>
      <c r="C6" s="63">
        <f>'1 Исходные данные'!C11/'1 Исходные данные'!C4*100</f>
        <v/>
      </c>
      <c r="D6" s="88">
        <f>C6-B6</f>
        <v/>
      </c>
      <c r="E6" s="15" t="inlineStr">
        <is>
          <t>Чистая прибыль / Выручка × 100 %</t>
        </is>
      </c>
      <c r="F6" s="2" t="n"/>
      <c r="G6" s="2" t="n"/>
      <c r="H6" s="2" t="n"/>
      <c r="I6" s="2" t="n"/>
      <c r="J6" s="2" t="n"/>
    </row>
    <row r="7" ht="24" customHeight="1">
      <c r="A7" s="16" t="inlineStr">
        <is>
          <t>EBITDA, млн руб.</t>
        </is>
      </c>
      <c r="B7" s="65">
        <f>'1 Исходные данные'!B9+'1 Исходные данные'!B12</f>
        <v/>
      </c>
      <c r="C7" s="65">
        <f>'1 Исходные данные'!C9+'1 Исходные данные'!C12</f>
        <v/>
      </c>
      <c r="D7" s="86">
        <f>C7-B7</f>
        <v/>
      </c>
      <c r="E7" s="16" t="inlineStr">
        <is>
          <t>Прибыль от продаж +Амортизация</t>
        </is>
      </c>
      <c r="F7" s="2" t="n"/>
      <c r="G7" s="2" t="n"/>
      <c r="H7" s="2" t="n"/>
      <c r="I7" s="2" t="n"/>
      <c r="J7" s="2" t="n"/>
    </row>
    <row r="8" ht="24" customHeight="1">
      <c r="A8" s="15" t="inlineStr">
        <is>
          <t>EBITDA margin, %</t>
        </is>
      </c>
      <c r="B8" s="63">
        <f>B7/'1 Исходные данные'!B4*100</f>
        <v/>
      </c>
      <c r="C8" s="63">
        <f>C7/'1 Исходные данные'!C4*100</f>
        <v/>
      </c>
      <c r="D8" s="88">
        <f>C8-B8</f>
        <v/>
      </c>
      <c r="E8" s="15" t="inlineStr">
        <is>
          <t>EBITDA / Выручка × 100 %</t>
        </is>
      </c>
      <c r="F8" s="2" t="n"/>
      <c r="G8" s="2" t="n"/>
      <c r="H8" s="2" t="n"/>
      <c r="I8" s="2" t="n"/>
      <c r="J8" s="2" t="n"/>
    </row>
    <row r="9" ht="24" customHeight="1">
      <c r="A9" s="6" t="inlineStr">
        <is>
          <t>Коэффициент затрат, %</t>
        </is>
      </c>
      <c r="B9" s="65">
        <f>'1 Исходные данные'!B5/'1 Исходные данные'!B4*100</f>
        <v/>
      </c>
      <c r="C9" s="65">
        <f>'1 Исходные данные'!C5/'1 Исходные данные'!C4*100</f>
        <v/>
      </c>
      <c r="D9" s="86">
        <f>C9-B9</f>
        <v/>
      </c>
      <c r="E9" s="16" t="inlineStr">
        <is>
          <t>Себестоимость / Выручка × 100 %</t>
        </is>
      </c>
      <c r="F9" s="2" t="n"/>
      <c r="G9" s="2" t="n"/>
      <c r="H9" s="2" t="n"/>
      <c r="I9" s="2" t="n"/>
      <c r="J9" s="2" t="n"/>
    </row>
    <row r="10" ht="24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58" customHeight="1">
      <c r="A11" s="78" t="inlineStr">
        <is>
          <t>Почему EBITDA может расти при падении чистой прибыли. Здесь так не вышло: EBITDA* тоже снизилась (строка выше). Рост бывает, если амортизация прибавляется сильнее, чем падает прибыль от продаж, или если чистую прибыль режут процент, налог и прочие статьи. Амортизация выросла примерно на 5,3 млрд, прибыль от продаж упала примерно на 96,5 млрд, поэтому запас не перекрыт.</t>
        </is>
      </c>
      <c r="F11" s="2" t="n"/>
      <c r="G11" s="2" t="n"/>
      <c r="H11" s="2" t="n"/>
      <c r="I11" s="2" t="n"/>
      <c r="J11" s="2" t="n"/>
    </row>
    <row r="12" ht="58" customHeight="1">
      <c r="A12" s="78" t="inlineStr">
        <is>
          <t>Почему EBITDA* не равна денежному потоку. В 2025 разница EBITDA* − ОДП положительная и большая: в показателе нет уплаты налога, процентов деньгами и движения дебиторки, запасов и резервов. ОДП берется из ОДДС, строка 4100, а не из ОФР.</t>
        </is>
      </c>
      <c r="F12" s="2" t="n"/>
      <c r="G12" s="2" t="n"/>
      <c r="H12" s="2" t="n"/>
      <c r="I12" s="2" t="n"/>
      <c r="J12" s="2" t="n"/>
    </row>
    <row r="13" ht="58" customHeight="1">
      <c r="A13" s="78" t="inlineStr">
        <is>
          <t>Амортизация для ТЭК. Рост на 15,0% сам по себе не доказывает ввод новых мощностей: могла измениться база, обесценение, сроки. Учебная EBITDA* = прибыль от продаж + амортизация из пояснения 12. Это не консолидированная EBITDA группы по МСФО и она не вычитает вложения в поддержание добычи.</t>
        </is>
      </c>
      <c r="F13" s="2" t="n"/>
      <c r="G13" s="2" t="n"/>
      <c r="H13" s="2" t="n"/>
      <c r="I13" s="2" t="n"/>
      <c r="J13" s="2" t="n"/>
    </row>
    <row r="14" ht="60" customHeight="1">
      <c r="F14" s="2" t="n"/>
      <c r="G14" s="2" t="n"/>
      <c r="H14" s="2" t="n"/>
      <c r="I14" s="2" t="n"/>
      <c r="J14" s="2" t="n"/>
    </row>
    <row r="15" ht="2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 ht="24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 ht="24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 ht="24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 ht="24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 ht="24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 ht="24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 ht="24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 ht="24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 ht="24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 ht="24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 ht="2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 ht="2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 ht="24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 ht="24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 ht="24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 ht="24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 ht="24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 ht="24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 ht="24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 ht="24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 ht="24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 ht="24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 ht="24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 ht="2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 ht="24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 ht="24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 ht="24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 ht="24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 ht="24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 ht="24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 ht="24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 ht="24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 ht="24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 ht="24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 ht="2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 ht="2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 ht="2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 ht="2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 ht="2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 ht="2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 ht="24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 ht="24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 ht="24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 ht="24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 ht="24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 ht="24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 ht="24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 ht="24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 ht="24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 ht="24" customHeight="1"/>
    <row r="66" ht="24" customHeight="1"/>
    <row r="67" ht="24" customHeight="1"/>
    <row r="68" ht="24" customHeight="1"/>
    <row r="69" ht="24" customHeight="1"/>
  </sheetData>
  <mergeCells count="4">
    <mergeCell ref="A11:E11"/>
    <mergeCell ref="A1:J1"/>
    <mergeCell ref="A12:E12"/>
    <mergeCell ref="A13:E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3" topLeftCell="A4" activePane="bottomLeft" state="frozen"/>
      <selection pane="bottomLeft" activeCell="A12" sqref="A12:E16"/>
    </sheetView>
  </sheetViews>
  <sheetFormatPr baseColWidth="8" defaultRowHeight="15"/>
  <cols>
    <col width="46" customWidth="1" min="1" max="1"/>
    <col width="22" customWidth="1" min="2" max="4"/>
    <col width="80" customWidth="1" min="5" max="5"/>
    <col width="22" customWidth="1" min="6" max="9"/>
  </cols>
  <sheetData>
    <row r="1" ht="24" customHeight="1">
      <c r="A1" s="60" t="inlineStr">
        <is>
          <t>Задание 5. Факторный анализ выручки</t>
        </is>
      </c>
    </row>
    <row r="2" ht="2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32.1" customHeight="1">
      <c r="A3" s="5" t="inlineStr">
        <is>
          <t>Официальный вид выручки</t>
        </is>
      </c>
      <c r="B3" s="5" t="inlineStr">
        <is>
          <t>2024, млн</t>
        </is>
      </c>
      <c r="C3" s="5" t="inlineStr">
        <is>
          <t>2025, млн</t>
        </is>
      </c>
      <c r="D3" s="5" t="inlineStr">
        <is>
          <t>Влияние, млн</t>
        </is>
      </c>
      <c r="E3" s="5" t="inlineStr">
        <is>
          <t>Доля общ. измен., %</t>
        </is>
      </c>
      <c r="F3" s="1" t="n"/>
      <c r="G3" s="1" t="n"/>
      <c r="H3" s="1" t="n"/>
      <c r="I3" s="1" t="n"/>
    </row>
    <row r="4" ht="24" customHeight="1">
      <c r="A4" s="4" t="inlineStr">
        <is>
          <t>Выручка: нефтепродукты и нефтехимия</t>
        </is>
      </c>
      <c r="B4" s="63">
        <f>'1 Исходные данные'!B23</f>
        <v/>
      </c>
      <c r="C4" s="63">
        <f>'1 Исходные данные'!C23</f>
        <v/>
      </c>
      <c r="D4" s="88">
        <f>C4-B4</f>
        <v/>
      </c>
      <c r="E4" s="96">
        <f>D4/$D$10*100</f>
        <v/>
      </c>
      <c r="F4" s="2" t="n"/>
      <c r="G4" s="2" t="n"/>
      <c r="H4" s="2" t="n"/>
      <c r="I4" s="2" t="n"/>
    </row>
    <row r="5" ht="24" customHeight="1">
      <c r="A5" s="6" t="inlineStr">
        <is>
          <t>Выручка: собственная нефть</t>
        </is>
      </c>
      <c r="B5" s="65">
        <f>'1 Исходные данные'!B24</f>
        <v/>
      </c>
      <c r="C5" s="65">
        <f>'1 Исходные данные'!C24</f>
        <v/>
      </c>
      <c r="D5" s="86">
        <f>C5-B5</f>
        <v/>
      </c>
      <c r="E5" s="97">
        <f>D5/$D$10*100</f>
        <v/>
      </c>
      <c r="F5" s="2" t="n"/>
      <c r="G5" s="2" t="n"/>
      <c r="H5" s="2" t="n"/>
      <c r="I5" s="2" t="n"/>
    </row>
    <row r="6" ht="24" customHeight="1">
      <c r="A6" s="4" t="inlineStr">
        <is>
          <t>Выручка: прочие готовые товары</t>
        </is>
      </c>
      <c r="B6" s="63">
        <f>'1 Исходные данные'!B25</f>
        <v/>
      </c>
      <c r="C6" s="63">
        <f>'1 Исходные данные'!C25</f>
        <v/>
      </c>
      <c r="D6" s="88">
        <f>C6-B6</f>
        <v/>
      </c>
      <c r="E6" s="96">
        <f>D6/$D$10*100</f>
        <v/>
      </c>
      <c r="F6" s="2" t="n"/>
      <c r="G6" s="2" t="n"/>
      <c r="H6" s="2" t="n"/>
      <c r="I6" s="2" t="n"/>
    </row>
    <row r="7" ht="24" customHeight="1">
      <c r="A7" s="6" t="inlineStr">
        <is>
          <t>Выручка: покупная нефть</t>
        </is>
      </c>
      <c r="B7" s="65">
        <f>'1 Исходные данные'!B26</f>
        <v/>
      </c>
      <c r="C7" s="65">
        <f>'1 Исходные данные'!C26</f>
        <v/>
      </c>
      <c r="D7" s="86">
        <f>C7-B7</f>
        <v/>
      </c>
      <c r="E7" s="97">
        <f>D7/$D$10*100</f>
        <v/>
      </c>
      <c r="F7" s="2" t="n"/>
      <c r="G7" s="2" t="n"/>
      <c r="H7" s="2" t="n"/>
      <c r="I7" s="2" t="n"/>
    </row>
    <row r="8" ht="24" customHeight="1">
      <c r="A8" s="4" t="inlineStr">
        <is>
          <t>Выручка: строительные работы</t>
        </is>
      </c>
      <c r="B8" s="63">
        <f>'1 Исходные данные'!B27</f>
        <v/>
      </c>
      <c r="C8" s="63">
        <f>'1 Исходные данные'!C27</f>
        <v/>
      </c>
      <c r="D8" s="88">
        <f>C8-B8</f>
        <v/>
      </c>
      <c r="E8" s="96">
        <f>D8/$D$10*100</f>
        <v/>
      </c>
      <c r="F8" s="2" t="n"/>
      <c r="G8" s="2" t="n"/>
      <c r="H8" s="2" t="n"/>
      <c r="I8" s="2" t="n"/>
    </row>
    <row r="9" ht="24" customHeight="1">
      <c r="A9" s="6" t="inlineStr">
        <is>
          <t>Выручка: прочая реализация</t>
        </is>
      </c>
      <c r="B9" s="65">
        <f>'1 Исходные данные'!B28</f>
        <v/>
      </c>
      <c r="C9" s="65">
        <f>'1 Исходные данные'!C28</f>
        <v/>
      </c>
      <c r="D9" s="86">
        <f>C9-B9</f>
        <v/>
      </c>
      <c r="E9" s="97">
        <f>D9/$D$10*100</f>
        <v/>
      </c>
      <c r="F9" s="2" t="n"/>
      <c r="G9" s="2" t="n"/>
      <c r="H9" s="2" t="n"/>
      <c r="I9" s="2" t="n"/>
    </row>
    <row r="10" ht="24" customHeight="1">
      <c r="A10" s="4" t="inlineStr">
        <is>
          <t>ИТОГО, изменение выручки</t>
        </is>
      </c>
      <c r="B10" s="63">
        <f>SUM(B4:B9)</f>
        <v/>
      </c>
      <c r="C10" s="63">
        <f>SUM(C4:C9)</f>
        <v/>
      </c>
      <c r="D10" s="88">
        <f>SUM(D4:D9)</f>
        <v/>
      </c>
      <c r="E10" s="96">
        <f>D10/$D$10*100</f>
        <v/>
      </c>
      <c r="F10" s="2" t="n"/>
      <c r="G10" s="2" t="n"/>
      <c r="H10" s="2" t="n"/>
      <c r="I10" s="2" t="n"/>
    </row>
    <row r="11" ht="24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 ht="24" customHeight="1">
      <c r="A12" s="98" t="inlineStr">
        <is>
          <t>Проверка: сумма влияний − изменение выручки</t>
        </is>
      </c>
      <c r="D12" s="99">
        <f>D10-('1 Исходные данные'!C4-'1 Исходные данные'!B4)</f>
        <v/>
      </c>
      <c r="E12" s="98" t="inlineStr">
        <is>
          <t>Должно быть 0.</t>
        </is>
      </c>
      <c r="F12" s="2" t="n"/>
      <c r="G12" s="2" t="n"/>
      <c r="H12" s="2" t="n"/>
      <c r="I12" s="2" t="n"/>
    </row>
    <row r="13" ht="62" customHeight="1">
      <c r="A13" s="78" t="inlineStr">
        <is>
          <t>Цепные подстановки «объем × цена» не считаю. В отчете нет Q и P, а выдумывать их нельзя. Разрез ниже — по видам выручки из пояснения 11. Основной минус дает собственная нефть. Покупная нефть выросла с нуля и частично этот минус закрывает, но мало. Инфляционный рост цены тут вообще нечего обсуждать как факт года: цены реализации в рублях на тонну в отчетности нет.</t>
        </is>
      </c>
      <c r="F13" s="2" t="n"/>
      <c r="G13" s="2" t="n"/>
      <c r="H13" s="2" t="n"/>
      <c r="I13" s="2" t="n"/>
    </row>
    <row r="14" ht="54.95" customHeight="1">
      <c r="F14" s="2" t="n"/>
      <c r="G14" s="2" t="n"/>
      <c r="H14" s="2" t="n"/>
      <c r="I14" s="2" t="n"/>
    </row>
    <row r="15" ht="54.95" customHeight="1">
      <c r="F15" s="2" t="n"/>
      <c r="G15" s="2" t="n"/>
      <c r="H15" s="2" t="n"/>
      <c r="I15" s="2" t="n"/>
    </row>
    <row r="16" ht="54.95" customHeight="1">
      <c r="F16" s="2" t="n"/>
      <c r="G16" s="2" t="n"/>
      <c r="H16" s="2" t="n"/>
      <c r="I16" s="2" t="n"/>
    </row>
    <row r="17" ht="24" customHeight="1">
      <c r="C17" s="2" t="n"/>
      <c r="D17" s="2" t="n"/>
      <c r="E17" s="2" t="n"/>
      <c r="F17" s="2" t="n"/>
      <c r="G17" s="2" t="n"/>
      <c r="H17" s="2" t="n"/>
      <c r="I17" s="2" t="n"/>
    </row>
    <row r="18" ht="24" customHeight="1">
      <c r="C18" s="2" t="n"/>
      <c r="D18" s="2" t="n"/>
      <c r="E18" s="2" t="n"/>
      <c r="F18" s="2" t="n"/>
      <c r="G18" s="2" t="n"/>
      <c r="H18" s="2" t="n"/>
      <c r="I18" s="2" t="n"/>
    </row>
    <row r="19" ht="24" customHeight="1">
      <c r="C19" s="2" t="n"/>
      <c r="D19" s="2" t="n"/>
      <c r="E19" s="2" t="n"/>
      <c r="F19" s="2" t="n"/>
      <c r="G19" s="2" t="n"/>
      <c r="H19" s="2" t="n"/>
      <c r="I19" s="2" t="n"/>
    </row>
    <row r="20" ht="24" customHeight="1">
      <c r="C20" s="2" t="n"/>
      <c r="D20" s="2" t="n"/>
      <c r="E20" s="2" t="n"/>
      <c r="F20" s="2" t="n"/>
      <c r="G20" s="2" t="n"/>
      <c r="H20" s="2" t="n"/>
      <c r="I20" s="2" t="n"/>
    </row>
    <row r="21">
      <c r="C21" s="2" t="n"/>
      <c r="D21" s="2" t="n"/>
      <c r="E21" s="2" t="n"/>
      <c r="F21" s="2" t="n"/>
      <c r="G21" s="2" t="n"/>
      <c r="H21" s="2" t="n"/>
      <c r="I21" s="2" t="n"/>
    </row>
    <row r="22" ht="24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24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24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 ht="24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 ht="2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 ht="2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 ht="24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 ht="24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24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 ht="24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 ht="24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24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24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24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24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 ht="24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 ht="24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2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24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24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 ht="24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 ht="24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 ht="24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 ht="24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24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 ht="24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 ht="24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 ht="24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 ht="2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 ht="2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2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 ht="2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2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 ht="2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 ht="24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 ht="24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 ht="24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 ht="24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 ht="24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 ht="24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 ht="24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24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 ht="24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24" customHeight="1"/>
    <row r="66" ht="24" customHeight="1"/>
    <row r="67" ht="24" customHeight="1"/>
    <row r="68" ht="24" customHeight="1"/>
    <row r="69" ht="24" customHeight="1"/>
  </sheetData>
  <mergeCells count="2">
    <mergeCell ref="A1:I1"/>
    <mergeCell ref="A13:E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3" topLeftCell="A4" activePane="bottomLeft" state="frozen"/>
      <selection pane="bottomLeft" activeCell="E22" sqref="A15:E22"/>
    </sheetView>
  </sheetViews>
  <sheetFormatPr baseColWidth="8" defaultRowHeight="15"/>
  <cols>
    <col width="51" customWidth="1" min="1" max="1"/>
    <col width="22" customWidth="1" min="2" max="9"/>
  </cols>
  <sheetData>
    <row r="1" ht="24" customHeight="1">
      <c r="A1" s="60" t="inlineStr">
        <is>
          <t>Задание 6. Качество прибыли</t>
        </is>
      </c>
    </row>
    <row r="2" ht="2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32.1" customHeight="1">
      <c r="A3" s="5" t="inlineStr">
        <is>
          <t>Показатель</t>
        </is>
      </c>
      <c r="B3" s="5" t="inlineStr">
        <is>
          <t>2024</t>
        </is>
      </c>
      <c r="C3" s="5" t="inlineStr">
        <is>
          <t>2025</t>
        </is>
      </c>
      <c r="D3" s="5" t="inlineStr">
        <is>
          <t>Изменение</t>
        </is>
      </c>
      <c r="E3" s="1" t="n"/>
      <c r="F3" s="1" t="n"/>
      <c r="G3" s="1" t="n"/>
      <c r="H3" s="1" t="n"/>
      <c r="I3" s="1" t="n"/>
    </row>
    <row r="4" ht="24" customHeight="1">
      <c r="A4" s="4" t="inlineStr">
        <is>
          <t>Чистая прибыль</t>
        </is>
      </c>
      <c r="B4" s="63">
        <f>'1 Исходные данные'!B11</f>
        <v/>
      </c>
      <c r="C4" s="63">
        <f>'1 Исходные данные'!C11</f>
        <v/>
      </c>
      <c r="D4" s="88">
        <f>C4-B4</f>
        <v/>
      </c>
      <c r="E4" s="2" t="n"/>
      <c r="F4" s="2" t="n"/>
      <c r="G4" s="2" t="n"/>
      <c r="H4" s="2" t="n"/>
      <c r="I4" s="2" t="n"/>
    </row>
    <row r="5" ht="24" customHeight="1">
      <c r="A5" s="6" t="inlineStr">
        <is>
          <t>Операционный денежный поток</t>
        </is>
      </c>
      <c r="B5" s="65">
        <f>'1 Исходные данные'!B13</f>
        <v/>
      </c>
      <c r="C5" s="65">
        <f>'1 Исходные данные'!C13</f>
        <v/>
      </c>
      <c r="D5" s="86">
        <f>C5-B5</f>
        <v/>
      </c>
      <c r="E5" s="2" t="n"/>
      <c r="F5" s="2" t="n"/>
      <c r="G5" s="2" t="n"/>
      <c r="H5" s="2" t="n"/>
      <c r="I5" s="2" t="n"/>
    </row>
    <row r="6" ht="24" customHeight="1">
      <c r="A6" s="4" t="inlineStr">
        <is>
          <t>Коэффициент денежного качества</t>
        </is>
      </c>
      <c r="B6" s="63">
        <f>B5/B4</f>
        <v/>
      </c>
      <c r="C6" s="63">
        <f>C5/C4</f>
        <v/>
      </c>
      <c r="D6" s="88">
        <f>C6-B6</f>
        <v/>
      </c>
      <c r="E6" s="2" t="n"/>
      <c r="F6" s="2" t="n"/>
      <c r="G6" s="2" t="n"/>
      <c r="H6" s="2" t="n"/>
      <c r="I6" s="2" t="n"/>
    </row>
    <row r="7" ht="24" customHeight="1">
      <c r="A7" s="6" t="inlineStr">
        <is>
          <t>Инвестиционные денежные CAPEX</t>
        </is>
      </c>
      <c r="B7" s="65">
        <f>'1 Исходные данные'!B14</f>
        <v/>
      </c>
      <c r="C7" s="65">
        <f>'1 Исходные данные'!C14</f>
        <v/>
      </c>
      <c r="D7" s="86">
        <f>C7-B7</f>
        <v/>
      </c>
      <c r="E7" s="2" t="n"/>
      <c r="F7" s="2" t="n"/>
      <c r="G7" s="2" t="n"/>
      <c r="H7" s="2" t="n"/>
      <c r="I7" s="2" t="n"/>
    </row>
    <row r="8" ht="24" customHeight="1">
      <c r="A8" s="4" t="inlineStr">
        <is>
          <t>Капвложения, учтенные в текущих операциях</t>
        </is>
      </c>
      <c r="B8" s="63">
        <f>'1 Исходные данные'!B15</f>
        <v/>
      </c>
      <c r="C8" s="63">
        <f>'1 Исходные данные'!C15</f>
        <v/>
      </c>
      <c r="D8" s="88">
        <f>C8-B8</f>
        <v/>
      </c>
      <c r="E8" s="2" t="n"/>
      <c r="F8" s="2" t="n"/>
      <c r="G8" s="2" t="n"/>
      <c r="H8" s="2" t="n"/>
      <c r="I8" s="2" t="n"/>
    </row>
    <row r="9" ht="24" customHeight="1">
      <c r="A9" s="6" t="inlineStr">
        <is>
          <t>Всего денежные капитальные платежи</t>
        </is>
      </c>
      <c r="B9" s="65">
        <f>SUM(B7:B8)</f>
        <v/>
      </c>
      <c r="C9" s="65">
        <f>SUM(C7:C8)</f>
        <v/>
      </c>
      <c r="D9" s="86">
        <f>C9-B9</f>
        <v/>
      </c>
      <c r="E9" s="2" t="n"/>
      <c r="F9" s="2" t="n"/>
      <c r="G9" s="2" t="n"/>
      <c r="H9" s="2" t="n"/>
      <c r="I9" s="2" t="n"/>
    </row>
    <row r="10" ht="24" customHeight="1">
      <c r="A10" s="4" t="inlineStr">
        <is>
          <t>Условный поток после инвест. CAPEX = ОДП − 4221</t>
        </is>
      </c>
      <c r="B10" s="63">
        <f>B5-B7</f>
        <v/>
      </c>
      <c r="C10" s="63">
        <f>C5-C7</f>
        <v/>
      </c>
      <c r="D10" s="88">
        <f>C10-B10</f>
        <v/>
      </c>
      <c r="E10" s="2" t="n"/>
      <c r="F10" s="2" t="n"/>
      <c r="G10" s="2" t="n"/>
      <c r="H10" s="2" t="n"/>
      <c r="I10" s="2" t="n"/>
    </row>
    <row r="11" ht="24" customHeight="1">
      <c r="A11" s="6" t="inlineStr">
        <is>
          <t>Дебиторская задолженность</t>
        </is>
      </c>
      <c r="B11" s="65">
        <f>'1 Исходные данные'!B36</f>
        <v/>
      </c>
      <c r="C11" s="65">
        <f>'1 Исходные данные'!C36</f>
        <v/>
      </c>
      <c r="D11" s="86">
        <f>C11-B11</f>
        <v/>
      </c>
      <c r="E11" s="2" t="n"/>
      <c r="F11" s="2" t="n"/>
      <c r="G11" s="2" t="n"/>
      <c r="H11" s="2" t="n"/>
      <c r="I11" s="2" t="n"/>
    </row>
    <row r="12" ht="24" customHeight="1">
      <c r="A12" s="4" t="inlineStr">
        <is>
          <t>Запасы</t>
        </is>
      </c>
      <c r="B12" s="63">
        <f>'1 Исходные данные'!B35</f>
        <v/>
      </c>
      <c r="C12" s="63">
        <f>'1 Исходные данные'!C35</f>
        <v/>
      </c>
      <c r="D12" s="88">
        <f>C12-B12</f>
        <v/>
      </c>
      <c r="E12" s="2" t="n"/>
      <c r="F12" s="2" t="n"/>
      <c r="G12" s="2" t="n"/>
      <c r="H12" s="2" t="n"/>
      <c r="I12" s="2" t="n"/>
    </row>
    <row r="13" ht="24" customHeight="1">
      <c r="A13" s="6" t="inlineStr">
        <is>
          <t>Денежные средства</t>
        </is>
      </c>
      <c r="B13" s="65">
        <f>'1 Исходные данные'!B37</f>
        <v/>
      </c>
      <c r="C13" s="65">
        <f>'1 Исходные данные'!C37</f>
        <v/>
      </c>
      <c r="D13" s="86">
        <f>C13-B13</f>
        <v/>
      </c>
      <c r="E13" s="2" t="n"/>
      <c r="F13" s="2" t="n"/>
      <c r="G13" s="2" t="n"/>
      <c r="H13" s="2" t="n"/>
      <c r="I13" s="2" t="n"/>
    </row>
    <row r="14" ht="24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 ht="72" customHeight="1">
      <c r="A15" s="78" t="inlineStr">
        <is>
          <t>Вывод. Коэффициент вырос с 1,16 до 1,42, потому что чистая прибыль сжалась сильнее операционного потока. Оба показателя в абсолюте ниже, так что «качество улучшилось» из одного частного не следует. Дебиторка и запасы снизились, это поддерживает ОДП, но деньги на счетах тоже меньше. Часть провала ниже операционной прибыли неденежная: курсовая разница и резервы из пояснения 14. Строку 4125 второй раз из ОДП не вычитаю, она уже внутри строки 4100. После инвестиционных платежей 4221 остается ОДП − 4221.</t>
        </is>
      </c>
      <c r="F15" s="2" t="n"/>
      <c r="G15" s="2" t="n"/>
      <c r="H15" s="2" t="n"/>
      <c r="I15" s="2" t="n"/>
    </row>
    <row r="16">
      <c r="F16" s="2" t="n"/>
      <c r="G16" s="2" t="n"/>
      <c r="H16" s="2" t="n"/>
      <c r="I16" s="2" t="n"/>
    </row>
    <row r="17">
      <c r="F17" s="2" t="n"/>
      <c r="G17" s="2" t="n"/>
      <c r="H17" s="2" t="n"/>
      <c r="I17" s="2" t="n"/>
    </row>
    <row r="18">
      <c r="F18" s="2" t="n"/>
      <c r="G18" s="2" t="n"/>
      <c r="H18" s="2" t="n"/>
      <c r="I18" s="2" t="n"/>
    </row>
    <row r="19" ht="24" customHeight="1">
      <c r="F19" s="2" t="n"/>
      <c r="G19" s="2" t="n"/>
      <c r="H19" s="2" t="n"/>
      <c r="I19" s="2" t="n"/>
    </row>
    <row r="20" ht="48" customHeight="1">
      <c r="F20" s="2" t="n"/>
      <c r="G20" s="2" t="n"/>
      <c r="H20" s="2" t="n"/>
      <c r="I20" s="2" t="n"/>
    </row>
    <row r="21" ht="48" customHeight="1">
      <c r="F21" s="2" t="n"/>
      <c r="G21" s="2" t="n"/>
      <c r="H21" s="2" t="n"/>
      <c r="I21" s="2" t="n"/>
    </row>
    <row r="22">
      <c r="F22" s="2" t="n"/>
      <c r="G22" s="2" t="n"/>
      <c r="H22" s="2" t="n"/>
      <c r="I22" s="2" t="n"/>
    </row>
    <row r="23" ht="24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24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 ht="24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 ht="2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 ht="2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 ht="24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 ht="24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24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 ht="24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 ht="24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24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24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24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24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 ht="24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 ht="24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2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24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24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 ht="24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 ht="24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 ht="24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 ht="24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24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 ht="24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 ht="24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 ht="24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 ht="2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 ht="2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2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 ht="2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2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 ht="2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 ht="24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 ht="24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 ht="24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 ht="24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 ht="24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 ht="24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 ht="24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24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 ht="24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24" customHeight="1"/>
    <row r="66" ht="24" customHeight="1"/>
    <row r="67" ht="24" customHeight="1"/>
    <row r="68" ht="24" customHeight="1"/>
    <row r="69" ht="24" customHeight="1"/>
  </sheetData>
  <mergeCells count="2">
    <mergeCell ref="A1:I1"/>
    <mergeCell ref="A15:D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3"/>
  <sheetViews>
    <sheetView tabSelected="1" workbookViewId="0">
      <pane ySplit="3" topLeftCell="A22" activePane="bottomLeft" state="frozen"/>
      <selection pane="bottomLeft" activeCell="C27" sqref="C27"/>
    </sheetView>
  </sheetViews>
  <sheetFormatPr baseColWidth="8" defaultRowHeight="15"/>
  <cols>
    <col width="61" customWidth="1" style="51" min="1" max="1"/>
    <col width="29" customWidth="1" style="51" min="2" max="2"/>
    <col width="50" customWidth="1" style="51" min="3" max="3"/>
    <col width="23" customWidth="1" style="51" min="4" max="4"/>
    <col width="94" customWidth="1" style="51" min="5" max="5"/>
    <col width="22" customWidth="1" style="51" min="6" max="10"/>
    <col width="9" customWidth="1" style="51" min="11" max="16384"/>
  </cols>
  <sheetData>
    <row r="1" ht="33.95" customHeight="1">
      <c r="A1" s="49" t="inlineStr">
        <is>
          <t>Задание 8. Контроль ответа Grok и моей расчетной таблицы</t>
        </is>
      </c>
    </row>
    <row r="2" ht="50.1" customHeight="1">
      <c r="A2" s="52" t="n"/>
      <c r="B2" s="52" t="n"/>
      <c r="C2" s="52" t="n"/>
      <c r="D2" s="52" t="n"/>
      <c r="E2" s="52" t="n"/>
      <c r="F2" s="53" t="n"/>
      <c r="G2" s="53" t="n"/>
      <c r="H2" s="53" t="n"/>
      <c r="I2" s="53" t="n"/>
      <c r="J2" s="53" t="n"/>
    </row>
    <row r="3" ht="32.1" customHeight="1">
      <c r="A3" s="54" t="inlineStr">
        <is>
          <t>Утверждение (с указанием, где оно было)</t>
        </is>
      </c>
      <c r="B3" s="54" t="inlineStr">
        <is>
          <t>Статус</t>
        </is>
      </c>
      <c r="C3" s="54" t="inlineStr">
        <is>
          <t>Как проверено / формула</t>
        </is>
      </c>
      <c r="D3" s="54" t="inlineStr">
        <is>
          <t>Проверка: число</t>
        </is>
      </c>
      <c r="E3" s="54" t="inlineStr">
        <is>
          <t>Исправление, смысл и ограничение</t>
        </is>
      </c>
      <c r="F3" s="53" t="n"/>
      <c r="G3" s="53" t="n"/>
      <c r="H3" s="53" t="n"/>
      <c r="I3" s="53" t="n"/>
      <c r="J3" s="53" t="n"/>
    </row>
    <row r="4" ht="72" customHeight="1">
      <c r="A4" s="55" t="inlineStr">
        <is>
          <t>01. Ответ ИИ, п. 1: выручка 2025 снизилась на 11,8%.</t>
        </is>
      </c>
      <c r="B4" s="55" t="inlineStr">
        <is>
          <t>подтверждено</t>
        </is>
      </c>
      <c r="C4" s="55" t="inlineStr">
        <is>
          <t>(ОФР 2110_25/2110_24−1)×100</t>
        </is>
      </c>
      <c r="D4" s="56">
        <f>('1 Исходные данные'!C4/'1 Исходные данные'!B4-1)*100</f>
        <v/>
      </c>
      <c r="E4" s="55" t="inlineStr">
        <is>
          <t>−11,76% (округл. −11,8%). Исходная учебная ситуация о росте выручки для этой компании не выполняется.</t>
        </is>
      </c>
      <c r="F4" s="57" t="n"/>
      <c r="G4" s="57" t="n"/>
      <c r="H4" s="57" t="n"/>
      <c r="I4" s="57" t="n"/>
      <c r="J4" s="57" t="n"/>
    </row>
    <row r="5" ht="72" customHeight="1">
      <c r="A5" s="52" t="inlineStr">
        <is>
          <t>02. Ответ ИИ, п. 2: себестоимость уменьшилась на 6,4%.</t>
        </is>
      </c>
      <c r="B5" s="52" t="inlineStr">
        <is>
          <t>подтверждено частично</t>
        </is>
      </c>
      <c r="C5" s="52" t="inlineStr">
        <is>
          <t>ОФР 2120, сопоставимая графа 2024</t>
        </is>
      </c>
      <c r="D5" s="58">
        <f>('1 Исходные данные'!C5/'1 Исходные данные'!B5-1)*100</f>
        <v/>
      </c>
      <c r="E5" s="52" t="inlineStr">
        <is>
          <t>Число верно при использовании ПЕРЕСЧИТАННОЙ базы 2024 из отчета за 2025. Смешивать с прежней версией 2024 нельзя.</t>
        </is>
      </c>
      <c r="F5" s="57" t="n"/>
      <c r="G5" s="57" t="n"/>
      <c r="H5" s="57" t="n"/>
      <c r="I5" s="57" t="n"/>
      <c r="J5" s="57" t="n"/>
    </row>
    <row r="6" ht="72" customHeight="1">
      <c r="A6" s="55" t="inlineStr">
        <is>
          <t>03. Ответ ИИ, п. 2: валовая прибыль упала на 25,2%.</t>
        </is>
      </c>
      <c r="B6" s="55" t="inlineStr">
        <is>
          <t>подтверждено</t>
        </is>
      </c>
      <c r="C6" s="55" t="inlineStr">
        <is>
          <t>ОФР 2100, проверка R−С</t>
        </is>
      </c>
      <c r="D6" s="56">
        <f>('1 Исходные данные'!C6/'1 Исходные данные'!B6-1)*100</f>
        <v/>
      </c>
      <c r="E6" s="55" t="inlineStr">
        <is>
          <t>Да, −25,15%. Себестоимость снижалась медленнее выручки — пониженная валовая маржа.</t>
        </is>
      </c>
      <c r="F6" s="57" t="n"/>
      <c r="G6" s="57" t="n"/>
      <c r="H6" s="57" t="n"/>
      <c r="I6" s="57" t="n"/>
      <c r="J6" s="57" t="n"/>
    </row>
    <row r="7" ht="72" customHeight="1">
      <c r="A7" s="52" t="inlineStr">
        <is>
          <t>04. Ответ ИИ, п. 3: валовая маржа 2025 = 24,17%.</t>
        </is>
      </c>
      <c r="B7" s="52" t="inlineStr">
        <is>
          <t>подтверждено</t>
        </is>
      </c>
      <c r="C7" s="52" t="inlineStr">
        <is>
          <t>333578,094 / 1379916,414 ×100</t>
        </is>
      </c>
      <c r="D7" s="58">
        <f>'1 Исходные данные'!C6/'1 Исходные данные'!C4*100</f>
        <v/>
      </c>
      <c r="E7" s="52" t="inlineStr">
        <is>
          <t>24,17%; падение на 4,32 п. п. означает ослабление защиты от ценовых шоков нефти/нефтепродуктов.</t>
        </is>
      </c>
      <c r="F7" s="57" t="n"/>
      <c r="G7" s="57" t="n"/>
      <c r="H7" s="57" t="n"/>
      <c r="I7" s="57" t="n"/>
      <c r="J7" s="57" t="n"/>
    </row>
    <row r="8" ht="72" customHeight="1">
      <c r="A8" s="55" t="inlineStr">
        <is>
          <t>05. Ответ ИИ, п. 4: операционная маржа 16,13%.</t>
        </is>
      </c>
      <c r="B8" s="55" t="inlineStr">
        <is>
          <t>подтверждено</t>
        </is>
      </c>
      <c r="C8" s="55" t="inlineStr">
        <is>
          <t>2200 / 2110 ×100</t>
        </is>
      </c>
      <c r="D8" s="56">
        <f>'1 Исходные данные'!C9/'1 Исходные данные'!C4*100</f>
        <v/>
      </c>
      <c r="E8" s="55" t="inlineStr">
        <is>
          <t>Это маржа ПАО по РСБУ, не всей группы «Татнефть» по МСФО.</t>
        </is>
      </c>
      <c r="F8" s="57" t="n"/>
      <c r="G8" s="57" t="n"/>
      <c r="H8" s="57" t="n"/>
      <c r="I8" s="57" t="n"/>
      <c r="J8" s="57" t="n"/>
    </row>
    <row r="9" ht="72" customHeight="1">
      <c r="A9" s="52" t="inlineStr">
        <is>
          <t>06. Ответ ИИ, п. 5: чистая прибыль −42,0%.</t>
        </is>
      </c>
      <c r="B9" s="52" t="inlineStr">
        <is>
          <t>подтверждено</t>
        </is>
      </c>
      <c r="C9" s="52" t="inlineStr">
        <is>
          <t>ОФР 2400, 2024 и 2025</t>
        </is>
      </c>
      <c r="D9" s="58">
        <f>('1 Исходные данные'!C11/'1 Исходные данные'!B11-1)*100</f>
        <v/>
      </c>
      <c r="E9" s="52" t="inlineStr">
        <is>
          <t>−41,98%. Снижена способность финансировать капвложения из прибыли; это не то же самое, что сокращение денег на счетах.</t>
        </is>
      </c>
      <c r="F9" s="57" t="n"/>
      <c r="G9" s="57" t="n"/>
      <c r="H9" s="57" t="n"/>
      <c r="I9" s="57" t="n"/>
      <c r="J9" s="57" t="n"/>
    </row>
    <row r="10" ht="72" customHeight="1">
      <c r="A10" s="55" t="inlineStr">
        <is>
          <t>07. Ответ ИИ, п. 5: «прочие расходы ослабили результат».</t>
        </is>
      </c>
      <c r="B10" s="55" t="inlineStr">
        <is>
          <t>подтверждено частично</t>
        </is>
      </c>
      <c r="C10" s="55" t="inlineStr">
        <is>
          <t>2350_25−2350_24</t>
        </is>
      </c>
      <c r="D10" s="56">
        <f>'1 Исходные данные'!C20-'1 Исходные данные'!B20</f>
        <v/>
      </c>
      <c r="E10" s="55" t="inlineStr">
        <is>
          <t>Прочие расходы выросли на 127 934,059 млн руб., но одновременно росли и прочие доходы; для причин необходима детализация прим. 14.</t>
        </is>
      </c>
      <c r="F10" s="57" t="n"/>
      <c r="G10" s="57" t="n"/>
      <c r="H10" s="57" t="n"/>
      <c r="I10" s="57" t="n"/>
      <c r="J10" s="57" t="n"/>
    </row>
    <row r="11" ht="72" customHeight="1">
      <c r="A11" s="52" t="inlineStr">
        <is>
          <t>08. Ответ ИИ, п. 6: EBITDA* 2025 = 263568,979.</t>
        </is>
      </c>
      <c r="B11" s="52" t="inlineStr">
        <is>
          <t>подтверждено частично</t>
        </is>
      </c>
      <c r="C11" s="52" t="inlineStr">
        <is>
          <t>2200 + амортизация из прим. 12</t>
        </is>
      </c>
      <c r="D11" s="58">
        <f>'1 Исходные данные'!C9+'1 Исходные данные'!C12</f>
        <v/>
      </c>
      <c r="E11" s="52" t="inlineStr">
        <is>
          <t>Учебная EBITDA* верна, но не официальная консолидированная EBITDA. ТЭК: не покрывает вложения в поддержание добычи.</t>
        </is>
      </c>
      <c r="F11" s="57" t="n"/>
      <c r="G11" s="57" t="n"/>
      <c r="H11" s="57" t="n"/>
      <c r="I11" s="57" t="n"/>
      <c r="J11" s="57" t="n"/>
    </row>
    <row r="12" ht="72" customHeight="1">
      <c r="A12" s="55" t="inlineStr">
        <is>
          <t>09. Ответ ИИ, п. 6: амортизация выросла на 15,0%.</t>
        </is>
      </c>
      <c r="B12" s="55" t="inlineStr">
        <is>
          <t>подтверждено</t>
        </is>
      </c>
      <c r="C12" s="55" t="inlineStr">
        <is>
          <t>Амортизация_25 / Амортизация_24 −1</t>
        </is>
      </c>
      <c r="D12" s="56">
        <f>('1 Исходные данные'!C12/'1 Исходные данные'!B12-1)*100</f>
        <v/>
      </c>
      <c r="E12" s="55" t="inlineStr">
        <is>
          <t>Рост амортизации может сопровождать изменение базы активов, но нельзя автоматически утверждать, что введены новые мощности.</t>
        </is>
      </c>
      <c r="F12" s="57" t="n"/>
      <c r="G12" s="57" t="n"/>
      <c r="H12" s="57" t="n"/>
      <c r="I12" s="57" t="n"/>
      <c r="J12" s="57" t="n"/>
    </row>
    <row r="13" ht="72" customHeight="1">
      <c r="A13" s="52" t="inlineStr">
        <is>
          <t>10. Ответ ИИ, п. 7: ОДП сократился на 29,1%.</t>
        </is>
      </c>
      <c r="B13" s="52" t="inlineStr">
        <is>
          <t>подтверждено</t>
        </is>
      </c>
      <c r="C13" s="52" t="inlineStr">
        <is>
          <t>ОДДС 4100 за два года</t>
        </is>
      </c>
      <c r="D13" s="58">
        <f>('1 Исходные данные'!C13/'1 Исходные данные'!B13-1)*100</f>
        <v/>
      </c>
      <c r="E13" s="52" t="inlineStr">
        <is>
          <t>Операционный денежный поток снизился. Для капиталоёмкой отрасли важен именно запас денежных средств после необходимых инвестиций.</t>
        </is>
      </c>
      <c r="F13" s="57" t="n"/>
      <c r="G13" s="57" t="n"/>
      <c r="H13" s="57" t="n"/>
      <c r="I13" s="57" t="n"/>
      <c r="J13" s="57" t="n"/>
    </row>
    <row r="14" ht="72" customHeight="1">
      <c r="A14" s="55" t="inlineStr">
        <is>
          <t>11. Ответ ИИ, п. 7: ОДП ниже EBITDA*, не равен ей.</t>
        </is>
      </c>
      <c r="B14" s="55" t="inlineStr">
        <is>
          <t>подтверждено</t>
        </is>
      </c>
      <c r="C14" s="55" t="inlineStr">
        <is>
          <t>EBITDA* − ОДП в 2025</t>
        </is>
      </c>
      <c r="D14" s="56">
        <f>'4 Маржинальность'!C7-'1 Исходные данные'!C13</f>
        <v/>
      </c>
      <c r="E14" s="55" t="inlineStr">
        <is>
          <t>Разница 56 560,221 млн руб.; EBITDA* не учитывает налоговые платежи, оборотный капитал и часть иных платежей.</t>
        </is>
      </c>
      <c r="F14" s="57" t="n"/>
      <c r="G14" s="57" t="n"/>
      <c r="H14" s="57" t="n"/>
      <c r="I14" s="57" t="n"/>
      <c r="J14" s="57" t="n"/>
    </row>
    <row r="15" ht="72" customHeight="1">
      <c r="A15" s="52" t="inlineStr">
        <is>
          <t>12. Ответ ИИ, п. 8: ОДП/ЧП вырос до 1,42.</t>
        </is>
      </c>
      <c r="B15" s="52" t="inlineStr">
        <is>
          <t>подтверждено частично</t>
        </is>
      </c>
      <c r="C15" s="52" t="inlineStr">
        <is>
          <t>207008,758 / 145844,143</t>
        </is>
      </c>
      <c r="D15" s="58">
        <f>'1 Исходные данные'!C13/'1 Исходные данные'!C11</f>
        <v/>
      </c>
      <c r="E15" s="52" t="inlineStr">
        <is>
          <t>1,42 верно. Но нельзя делать сильный вывод об улучшении качества прибыли: оба абсолютных показателя снизились, ЧП — быстрее.</t>
        </is>
      </c>
      <c r="F15" s="57" t="n"/>
      <c r="G15" s="57" t="n"/>
      <c r="H15" s="57" t="n"/>
      <c r="I15" s="57" t="n"/>
      <c r="J15" s="57" t="n"/>
    </row>
    <row r="16" ht="72" customHeight="1">
      <c r="A16" s="55" t="inlineStr">
        <is>
          <t>13. Ответ ИИ, п. 9: цену и объём нельзя отделить по РСБУ.</t>
        </is>
      </c>
      <c r="B16" s="55" t="inlineStr">
        <is>
          <t>подтверждено</t>
        </is>
      </c>
      <c r="C16" s="55" t="inlineStr">
        <is>
          <t>Для R=ΣPiQi требуются Qi,Pi по видам</t>
        </is>
      </c>
      <c r="D16" s="56" t="n"/>
      <c r="E16" s="55" t="inlineStr">
        <is>
          <t>В отчете есть рублевая выручка по продуктам, но нет единого Q и P. Падение нефтяной выручки нельзя считать уменьшением добычи.</t>
        </is>
      </c>
      <c r="F16" s="57" t="n"/>
      <c r="G16" s="57" t="n"/>
      <c r="H16" s="57" t="n"/>
      <c r="I16" s="57" t="n"/>
      <c r="J16" s="57" t="n"/>
    </row>
    <row r="17" ht="72" customHeight="1">
      <c r="A17" s="52" t="inlineStr">
        <is>
          <t>14. Ответ ИИ, п. 10: стресс выручки 1179828,534.</t>
        </is>
      </c>
      <c r="B17" s="52" t="inlineStr">
        <is>
          <t>подтверждено</t>
        </is>
      </c>
      <c r="C17" s="52" t="inlineStr">
        <is>
          <t>R0×0,90×0,95</t>
        </is>
      </c>
      <c r="D17" s="58">
        <f>'9 Сценарный анализ'!C11</f>
        <v/>
      </c>
      <c r="E17" s="52" t="inlineStr">
        <is>
          <t>−14,5%, а не −15%: цена и объем действуют мультипликативно. Это сценарий, не официальный прогноз.</t>
        </is>
      </c>
      <c r="F17" s="57" t="n"/>
      <c r="G17" s="57" t="n"/>
      <c r="H17" s="57" t="n"/>
      <c r="I17" s="57" t="n"/>
      <c r="J17" s="57" t="n"/>
    </row>
    <row r="18" ht="72" customHeight="1">
      <c r="A18" s="55" t="inlineStr">
        <is>
          <t>15. Ответ ИИ, п. 10: стресс себестоимости 1063602,902.</t>
        </is>
      </c>
      <c r="B18" s="55" t="inlineStr">
        <is>
          <t>подтверждено частично</t>
        </is>
      </c>
      <c r="C18" s="55" t="inlineStr">
        <is>
          <t>С0×0,95×1,07</t>
        </is>
      </c>
      <c r="D18" s="56">
        <f>'9 Сценарный анализ'!C12</f>
        <v/>
      </c>
      <c r="E18" s="55" t="inlineStr">
        <is>
          <t>Подстановка верна только при допущении 100% переменных затрат; в реальном ТЭК есть затраты постоянного характера.</t>
        </is>
      </c>
      <c r="F18" s="57" t="n"/>
      <c r="G18" s="57" t="n"/>
      <c r="H18" s="57" t="n"/>
      <c r="I18" s="57" t="n"/>
      <c r="J18" s="57" t="n"/>
    </row>
    <row r="19" ht="72" customHeight="1">
      <c r="A19" s="52" t="inlineStr">
        <is>
          <t>16. Ответ ИИ, п. 12: стресс чистой прибыли −71508,319.</t>
        </is>
      </c>
      <c r="B19" s="52" t="inlineStr">
        <is>
          <t>подтверждено частично</t>
        </is>
      </c>
      <c r="C19" s="52" t="inlineStr">
        <is>
          <t>Сохранение расхода по налогу 2025</t>
        </is>
      </c>
      <c r="D19" s="58">
        <f>'9 Сценарный анализ'!C22</f>
        <v/>
      </c>
      <c r="E19" s="52" t="inlineStr">
        <is>
          <t>Это альтернативная чувствительность с неизменным налогом. Основной сценарий при нулевом условном налоговом расходе дает меньший убыток.</t>
        </is>
      </c>
      <c r="F19" s="57" t="n"/>
      <c r="G19" s="57" t="n"/>
      <c r="H19" s="57" t="n"/>
      <c r="I19" s="57" t="n"/>
      <c r="J19" s="57" t="n"/>
    </row>
    <row r="20" ht="72" customHeight="1">
      <c r="A20" s="55" t="inlineStr">
        <is>
          <t>17. ОДП−(4221+4125).</t>
        </is>
      </c>
      <c r="B20" s="55" t="inlineStr">
        <is>
          <t>методическая ошибка</t>
        </is>
      </c>
      <c r="C20" s="55" t="inlineStr">
        <is>
          <t>4100 уже включает 4125; вычитать только 4221</t>
        </is>
      </c>
      <c r="D20" s="56">
        <f>'6 Качество прибыли'!C10</f>
        <v/>
      </c>
      <c r="E20" s="55" t="inlineStr">
        <is>
          <t xml:space="preserve">Исправлено до 139 649,620 млн руб. (было 108 135,904). </t>
        </is>
      </c>
      <c r="F20" s="57" t="n"/>
      <c r="G20" s="57" t="n"/>
      <c r="H20" s="57" t="n"/>
      <c r="I20" s="57" t="n"/>
      <c r="J20" s="57" t="n"/>
    </row>
    <row r="21" ht="24" customHeight="1">
      <c r="A21" s="52" t="n"/>
      <c r="B21" s="52" t="n"/>
      <c r="C21" s="52" t="n"/>
      <c r="D21" s="52" t="n"/>
      <c r="E21" s="52" t="n"/>
      <c r="F21" s="57" t="n"/>
      <c r="G21" s="57" t="n"/>
      <c r="H21" s="57" t="n"/>
      <c r="I21" s="57" t="n"/>
      <c r="J21" s="57" t="n"/>
    </row>
    <row r="22" ht="27" customHeight="1">
      <c r="A22" s="59" t="inlineStr">
        <is>
          <t>Заключение проверки ИИ и методические ограничения</t>
        </is>
      </c>
      <c r="F22" s="57" t="n"/>
      <c r="G22" s="57" t="n"/>
      <c r="H22" s="57" t="n"/>
      <c r="I22" s="57" t="n"/>
      <c r="J22" s="57" t="n"/>
    </row>
    <row r="23" ht="63" customHeight="1">
      <c r="A23" s="52" t="inlineStr">
        <is>
          <t>Сохранённый ответ ИИ</t>
        </is>
      </c>
      <c r="B23" s="52" t="n"/>
      <c r="C23" s="52" t="n"/>
      <c r="D23" s="52" t="n"/>
      <c r="E23" s="52" t="inlineStr">
        <is>
          <t>17 пунктов ответа Grok. Проверялись заявленные числа и выводы, не пересказ.</t>
        </is>
      </c>
      <c r="F23" s="57" t="n"/>
      <c r="G23" s="57" t="n"/>
      <c r="H23" s="57" t="n"/>
      <c r="I23" s="57" t="n"/>
      <c r="J23" s="57" t="n"/>
    </row>
    <row r="24" ht="63" customHeight="1">
      <c r="A24" s="52" t="inlineStr">
        <is>
          <t>Что подтверждено</t>
        </is>
      </c>
      <c r="B24" s="52" t="n"/>
      <c r="C24" s="52" t="n"/>
      <c r="D24" s="52" t="n"/>
      <c r="E24" s="52" t="inlineStr">
        <is>
          <t>Большинство базовых чисел, маржа, EBITDA*, снижение ОДП и математическое ядро стресса.</t>
        </is>
      </c>
      <c r="F24" s="57" t="n"/>
      <c r="G24" s="57" t="n"/>
      <c r="H24" s="57" t="n"/>
      <c r="I24" s="57" t="n"/>
      <c r="J24" s="57" t="n"/>
    </row>
    <row r="25" ht="63" customHeight="1">
      <c r="A25" s="52" t="inlineStr">
        <is>
          <t>Что исправлено</t>
        </is>
      </c>
      <c r="B25" s="52" t="n"/>
      <c r="C25" s="52" t="n"/>
      <c r="D25" s="52" t="n"/>
      <c r="E25" s="52" t="inlineStr">
        <is>
          <t>Двойной счёт CAPEX, неучтённый переход прибыли в убыток при стрессе, пустая оценка рисков, разграничение EBITDA и ДДС.</t>
        </is>
      </c>
      <c r="F25" s="57" t="n"/>
      <c r="G25" s="57" t="n"/>
      <c r="H25" s="57" t="n"/>
      <c r="I25" s="57" t="n"/>
      <c r="J25" s="57" t="n"/>
    </row>
    <row r="26" ht="63" customHeight="1">
      <c r="A26" s="52" t="inlineStr">
        <is>
          <t>Что не разрешено выдавать за факт</t>
        </is>
      </c>
      <c r="B26" s="52" t="n"/>
      <c r="C26" s="52" t="n"/>
      <c r="D26" s="52" t="n"/>
      <c r="E26" s="52" t="inlineStr">
        <is>
          <t>Причины падения добычи, эффект цены/объема без Q и P, состав постоянных расходов, официальная консолидированная EBITDA, точный налог стресса.</t>
        </is>
      </c>
      <c r="F26" s="57" t="n"/>
      <c r="G26" s="57" t="n"/>
      <c r="H26" s="57" t="n"/>
      <c r="I26" s="57" t="n"/>
      <c r="J26" s="57" t="n"/>
    </row>
    <row r="27" ht="63" customHeight="1">
      <c r="A27" s="52" t="n"/>
      <c r="B27" s="52" t="n"/>
      <c r="C27" s="52" t="n"/>
      <c r="D27" s="52" t="n"/>
      <c r="E27" s="52" t="n"/>
      <c r="F27" s="57" t="n"/>
      <c r="G27" s="57" t="n"/>
      <c r="H27" s="57" t="n"/>
      <c r="I27" s="57" t="n"/>
      <c r="J27" s="57" t="n"/>
    </row>
    <row r="28" ht="24" customHeight="1">
      <c r="A28" s="57" t="n"/>
      <c r="B28" s="57" t="n"/>
      <c r="C28" s="57" t="n"/>
      <c r="D28" s="57" t="n"/>
      <c r="E28" s="57" t="n"/>
      <c r="F28" s="57" t="n"/>
      <c r="G28" s="57" t="n"/>
      <c r="H28" s="57" t="n"/>
      <c r="I28" s="57" t="n"/>
      <c r="J28" s="57" t="n"/>
    </row>
    <row r="29" ht="24" customHeight="1">
      <c r="A29" s="57" t="n"/>
      <c r="B29" s="57" t="n"/>
      <c r="C29" s="57" t="n"/>
      <c r="D29" s="57" t="n"/>
      <c r="E29" s="57" t="n"/>
      <c r="F29" s="57" t="n"/>
      <c r="G29" s="57" t="n"/>
      <c r="H29" s="57" t="n"/>
      <c r="I29" s="57" t="n"/>
      <c r="J29" s="57" t="n"/>
    </row>
    <row r="30" ht="24" customHeight="1">
      <c r="A30" s="57" t="n"/>
      <c r="B30" s="57" t="n"/>
      <c r="C30" s="57" t="n"/>
      <c r="D30" s="57" t="n"/>
      <c r="E30" s="57" t="n"/>
      <c r="F30" s="57" t="n"/>
      <c r="G30" s="57" t="n"/>
      <c r="H30" s="57" t="n"/>
      <c r="I30" s="57" t="n"/>
      <c r="J30" s="57" t="n"/>
    </row>
    <row r="31" ht="24" customHeight="1">
      <c r="A31" s="57" t="n"/>
      <c r="B31" s="57" t="n"/>
      <c r="C31" s="57" t="n"/>
      <c r="D31" s="57" t="n"/>
      <c r="E31" s="57" t="n"/>
      <c r="F31" s="57" t="n"/>
      <c r="G31" s="57" t="n"/>
      <c r="H31" s="57" t="n"/>
      <c r="I31" s="57" t="n"/>
      <c r="J31" s="57" t="n"/>
    </row>
    <row r="32" ht="24" customHeight="1">
      <c r="A32" s="57" t="n"/>
      <c r="B32" s="57" t="n"/>
      <c r="C32" s="57" t="n"/>
      <c r="D32" s="57" t="n"/>
      <c r="E32" s="57" t="n"/>
      <c r="F32" s="57" t="n"/>
      <c r="G32" s="57" t="n"/>
      <c r="H32" s="57" t="n"/>
      <c r="I32" s="57" t="n"/>
      <c r="J32" s="57" t="n"/>
    </row>
    <row r="33" ht="24" customHeight="1">
      <c r="A33" s="57" t="n"/>
      <c r="B33" s="57" t="n"/>
      <c r="C33" s="57" t="n"/>
      <c r="D33" s="57" t="n"/>
      <c r="E33" s="57" t="n"/>
      <c r="F33" s="57" t="n"/>
      <c r="G33" s="57" t="n"/>
      <c r="H33" s="57" t="n"/>
      <c r="I33" s="57" t="n"/>
      <c r="J33" s="57" t="n"/>
    </row>
    <row r="34" ht="24" customHeight="1">
      <c r="A34" s="57" t="n"/>
      <c r="B34" s="57" t="n"/>
      <c r="C34" s="57" t="n"/>
      <c r="D34" s="57" t="n"/>
      <c r="E34" s="57" t="n"/>
      <c r="F34" s="57" t="n"/>
      <c r="G34" s="57" t="n"/>
      <c r="H34" s="57" t="n"/>
      <c r="I34" s="57" t="n"/>
      <c r="J34" s="57" t="n"/>
    </row>
    <row r="35" ht="24" customHeight="1">
      <c r="A35" s="57" t="n"/>
      <c r="B35" s="57" t="n"/>
      <c r="C35" s="57" t="n"/>
      <c r="D35" s="57" t="n"/>
      <c r="E35" s="57" t="n"/>
      <c r="F35" s="57" t="n"/>
      <c r="G35" s="57" t="n"/>
      <c r="H35" s="57" t="n"/>
      <c r="I35" s="57" t="n"/>
      <c r="J35" s="57" t="n"/>
    </row>
    <row r="36" ht="24" customHeight="1">
      <c r="A36" s="57" t="n"/>
      <c r="B36" s="57" t="n"/>
      <c r="C36" s="57" t="n"/>
      <c r="D36" s="57" t="n"/>
      <c r="E36" s="57" t="n"/>
      <c r="F36" s="57" t="n"/>
      <c r="G36" s="57" t="n"/>
      <c r="H36" s="57" t="n"/>
      <c r="I36" s="57" t="n"/>
      <c r="J36" s="57" t="n"/>
    </row>
    <row r="37" ht="24" customHeight="1">
      <c r="A37" s="57" t="n"/>
      <c r="B37" s="57" t="n"/>
      <c r="C37" s="57" t="n"/>
      <c r="D37" s="57" t="n"/>
      <c r="E37" s="57" t="n"/>
      <c r="F37" s="57" t="n"/>
      <c r="G37" s="57" t="n"/>
      <c r="H37" s="57" t="n"/>
      <c r="I37" s="57" t="n"/>
      <c r="J37" s="57" t="n"/>
    </row>
    <row r="38" ht="24" customHeight="1">
      <c r="A38" s="57" t="n"/>
      <c r="B38" s="57" t="n"/>
      <c r="C38" s="57" t="n"/>
      <c r="D38" s="57" t="n"/>
      <c r="E38" s="57" t="n"/>
      <c r="F38" s="57" t="n"/>
      <c r="G38" s="57" t="n"/>
      <c r="H38" s="57" t="n"/>
      <c r="I38" s="57" t="n"/>
      <c r="J38" s="57" t="n"/>
    </row>
    <row r="39" ht="24" customHeight="1">
      <c r="A39" s="57" t="n"/>
      <c r="B39" s="57" t="n"/>
      <c r="C39" s="57" t="n"/>
      <c r="D39" s="57" t="n"/>
      <c r="E39" s="57" t="n"/>
      <c r="F39" s="57" t="n"/>
      <c r="G39" s="57" t="n"/>
      <c r="H39" s="57" t="n"/>
      <c r="I39" s="57" t="n"/>
      <c r="J39" s="57" t="n"/>
    </row>
    <row r="40" ht="24" customHeight="1">
      <c r="A40" s="57" t="n"/>
      <c r="B40" s="57" t="n"/>
      <c r="C40" s="57" t="n"/>
      <c r="D40" s="57" t="n"/>
      <c r="E40" s="57" t="n"/>
      <c r="F40" s="57" t="n"/>
      <c r="G40" s="57" t="n"/>
      <c r="H40" s="57" t="n"/>
      <c r="I40" s="57" t="n"/>
      <c r="J40" s="57" t="n"/>
    </row>
    <row r="41" ht="24" customHeight="1">
      <c r="A41" s="57" t="n"/>
      <c r="B41" s="57" t="n"/>
      <c r="C41" s="57" t="n"/>
      <c r="D41" s="57" t="n"/>
      <c r="E41" s="57" t="n"/>
      <c r="F41" s="57" t="n"/>
      <c r="G41" s="57" t="n"/>
      <c r="H41" s="57" t="n"/>
      <c r="I41" s="57" t="n"/>
      <c r="J41" s="57" t="n"/>
    </row>
    <row r="42" ht="24" customHeight="1">
      <c r="A42" s="57" t="n"/>
      <c r="B42" s="57" t="n"/>
      <c r="C42" s="57" t="n"/>
      <c r="D42" s="57" t="n"/>
      <c r="E42" s="57" t="n"/>
      <c r="F42" s="57" t="n"/>
      <c r="G42" s="57" t="n"/>
      <c r="H42" s="57" t="n"/>
      <c r="I42" s="57" t="n"/>
      <c r="J42" s="57" t="n"/>
    </row>
    <row r="43" ht="24" customHeight="1">
      <c r="A43" s="57" t="n"/>
      <c r="B43" s="57" t="n"/>
      <c r="C43" s="57" t="n"/>
      <c r="D43" s="57" t="n"/>
      <c r="E43" s="57" t="n"/>
      <c r="F43" s="57" t="n"/>
      <c r="G43" s="57" t="n"/>
      <c r="H43" s="57" t="n"/>
      <c r="I43" s="57" t="n"/>
      <c r="J43" s="57" t="n"/>
    </row>
    <row r="44" ht="24" customHeight="1">
      <c r="A44" s="57" t="n"/>
      <c r="B44" s="57" t="n"/>
      <c r="C44" s="57" t="n"/>
      <c r="D44" s="57" t="n"/>
      <c r="E44" s="57" t="n"/>
      <c r="F44" s="57" t="n"/>
      <c r="G44" s="57" t="n"/>
      <c r="H44" s="57" t="n"/>
      <c r="I44" s="57" t="n"/>
      <c r="J44" s="57" t="n"/>
    </row>
    <row r="45" ht="24" customHeight="1">
      <c r="A45" s="57" t="n"/>
      <c r="B45" s="57" t="n"/>
      <c r="C45" s="57" t="n"/>
      <c r="D45" s="57" t="n"/>
      <c r="E45" s="57" t="n"/>
      <c r="F45" s="57" t="n"/>
      <c r="G45" s="57" t="n"/>
      <c r="H45" s="57" t="n"/>
      <c r="I45" s="57" t="n"/>
      <c r="J45" s="57" t="n"/>
    </row>
    <row r="46" ht="24" customHeight="1">
      <c r="A46" s="57" t="n"/>
      <c r="B46" s="57" t="n"/>
      <c r="C46" s="57" t="n"/>
      <c r="D46" s="57" t="n"/>
      <c r="E46" s="57" t="n"/>
      <c r="F46" s="57" t="n"/>
      <c r="G46" s="57" t="n"/>
      <c r="H46" s="57" t="n"/>
      <c r="I46" s="57" t="n"/>
      <c r="J46" s="57" t="n"/>
    </row>
    <row r="47" ht="24" customHeight="1">
      <c r="A47" s="57" t="n"/>
      <c r="B47" s="57" t="n"/>
      <c r="C47" s="57" t="n"/>
      <c r="D47" s="57" t="n"/>
      <c r="E47" s="57" t="n"/>
      <c r="F47" s="57" t="n"/>
      <c r="G47" s="57" t="n"/>
      <c r="H47" s="57" t="n"/>
      <c r="I47" s="57" t="n"/>
      <c r="J47" s="57" t="n"/>
    </row>
    <row r="48" ht="24" customHeight="1">
      <c r="A48" s="57" t="n"/>
      <c r="B48" s="57" t="n"/>
      <c r="C48" s="57" t="n"/>
      <c r="D48" s="57" t="n"/>
      <c r="E48" s="57" t="n"/>
      <c r="F48" s="57" t="n"/>
      <c r="G48" s="57" t="n"/>
      <c r="H48" s="57" t="n"/>
      <c r="I48" s="57" t="n"/>
      <c r="J48" s="57" t="n"/>
    </row>
    <row r="49" ht="24" customHeight="1">
      <c r="A49" s="57" t="n"/>
      <c r="B49" s="57" t="n"/>
      <c r="C49" s="57" t="n"/>
      <c r="D49" s="57" t="n"/>
      <c r="E49" s="57" t="n"/>
      <c r="F49" s="57" t="n"/>
      <c r="G49" s="57" t="n"/>
      <c r="H49" s="57" t="n"/>
      <c r="I49" s="57" t="n"/>
      <c r="J49" s="57" t="n"/>
    </row>
    <row r="50" ht="24" customHeight="1">
      <c r="A50" s="57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</row>
    <row r="51" ht="24" customHeight="1">
      <c r="A51" s="57" t="n"/>
      <c r="B51" s="57" t="n"/>
      <c r="C51" s="57" t="n"/>
      <c r="D51" s="57" t="n"/>
      <c r="E51" s="57" t="n"/>
      <c r="F51" s="57" t="n"/>
      <c r="G51" s="57" t="n"/>
      <c r="H51" s="57" t="n"/>
      <c r="I51" s="57" t="n"/>
      <c r="J51" s="57" t="n"/>
    </row>
    <row r="52" ht="24" customHeight="1">
      <c r="A52" s="57" t="n"/>
      <c r="B52" s="57" t="n"/>
      <c r="C52" s="57" t="n"/>
      <c r="D52" s="57" t="n"/>
      <c r="E52" s="57" t="n"/>
      <c r="F52" s="57" t="n"/>
      <c r="G52" s="57" t="n"/>
      <c r="H52" s="57" t="n"/>
      <c r="I52" s="57" t="n"/>
      <c r="J52" s="57" t="n"/>
    </row>
    <row r="53" ht="24" customHeight="1">
      <c r="A53" s="57" t="n"/>
      <c r="B53" s="57" t="n"/>
      <c r="C53" s="57" t="n"/>
      <c r="D53" s="57" t="n"/>
      <c r="E53" s="57" t="n"/>
      <c r="F53" s="57" t="n"/>
      <c r="G53" s="57" t="n"/>
      <c r="H53" s="57" t="n"/>
      <c r="I53" s="57" t="n"/>
      <c r="J53" s="57" t="n"/>
    </row>
    <row r="54" ht="24" customHeight="1">
      <c r="A54" s="57" t="n"/>
      <c r="B54" s="57" t="n"/>
      <c r="C54" s="57" t="n"/>
      <c r="D54" s="57" t="n"/>
      <c r="E54" s="57" t="n"/>
      <c r="F54" s="57" t="n"/>
      <c r="G54" s="57" t="n"/>
      <c r="H54" s="57" t="n"/>
      <c r="I54" s="57" t="n"/>
      <c r="J54" s="57" t="n"/>
    </row>
    <row r="55" ht="24" customHeight="1">
      <c r="A55" s="57" t="n"/>
      <c r="B55" s="57" t="n"/>
      <c r="C55" s="57" t="n"/>
      <c r="D55" s="57" t="n"/>
      <c r="E55" s="57" t="n"/>
      <c r="F55" s="57" t="n"/>
      <c r="G55" s="57" t="n"/>
      <c r="H55" s="57" t="n"/>
      <c r="I55" s="57" t="n"/>
      <c r="J55" s="57" t="n"/>
    </row>
    <row r="56" ht="24" customHeight="1">
      <c r="A56" s="57" t="n"/>
      <c r="B56" s="57" t="n"/>
      <c r="C56" s="57" t="n"/>
      <c r="D56" s="57" t="n"/>
      <c r="E56" s="57" t="n"/>
      <c r="F56" s="57" t="n"/>
      <c r="G56" s="57" t="n"/>
      <c r="H56" s="57" t="n"/>
      <c r="I56" s="57" t="n"/>
      <c r="J56" s="57" t="n"/>
    </row>
    <row r="57" ht="24" customHeight="1">
      <c r="A57" s="57" t="n"/>
      <c r="B57" s="57" t="n"/>
      <c r="C57" s="57" t="n"/>
      <c r="D57" s="57" t="n"/>
      <c r="E57" s="57" t="n"/>
      <c r="F57" s="57" t="n"/>
      <c r="G57" s="57" t="n"/>
      <c r="H57" s="57" t="n"/>
      <c r="I57" s="57" t="n"/>
      <c r="J57" s="57" t="n"/>
    </row>
    <row r="58" ht="24" customHeight="1">
      <c r="A58" s="57" t="n"/>
      <c r="B58" s="57" t="n"/>
      <c r="C58" s="57" t="n"/>
      <c r="D58" s="57" t="n"/>
      <c r="E58" s="57" t="n"/>
      <c r="F58" s="57" t="n"/>
      <c r="G58" s="57" t="n"/>
      <c r="H58" s="57" t="n"/>
      <c r="I58" s="57" t="n"/>
      <c r="J58" s="57" t="n"/>
    </row>
    <row r="59" ht="24" customHeight="1">
      <c r="A59" s="57" t="n"/>
      <c r="B59" s="57" t="n"/>
      <c r="C59" s="57" t="n"/>
      <c r="D59" s="57" t="n"/>
      <c r="E59" s="57" t="n"/>
      <c r="F59" s="57" t="n"/>
      <c r="G59" s="57" t="n"/>
      <c r="H59" s="57" t="n"/>
      <c r="I59" s="57" t="n"/>
      <c r="J59" s="57" t="n"/>
    </row>
    <row r="60" ht="24" customHeight="1">
      <c r="A60" s="57" t="n"/>
      <c r="B60" s="57" t="n"/>
      <c r="C60" s="57" t="n"/>
      <c r="D60" s="57" t="n"/>
      <c r="E60" s="57" t="n"/>
      <c r="F60" s="57" t="n"/>
      <c r="G60" s="57" t="n"/>
      <c r="H60" s="57" t="n"/>
      <c r="I60" s="57" t="n"/>
      <c r="J60" s="57" t="n"/>
    </row>
    <row r="61" ht="24" customHeight="1">
      <c r="A61" s="57" t="n"/>
      <c r="B61" s="57" t="n"/>
      <c r="C61" s="57" t="n"/>
      <c r="D61" s="57" t="n"/>
      <c r="E61" s="57" t="n"/>
      <c r="F61" s="57" t="n"/>
      <c r="G61" s="57" t="n"/>
      <c r="H61" s="57" t="n"/>
      <c r="I61" s="57" t="n"/>
      <c r="J61" s="57" t="n"/>
    </row>
    <row r="62" ht="24" customHeight="1">
      <c r="A62" s="57" t="n"/>
      <c r="B62" s="57" t="n"/>
      <c r="C62" s="57" t="n"/>
      <c r="D62" s="57" t="n"/>
      <c r="E62" s="57" t="n"/>
      <c r="F62" s="57" t="n"/>
      <c r="G62" s="57" t="n"/>
      <c r="H62" s="57" t="n"/>
      <c r="I62" s="57" t="n"/>
      <c r="J62" s="57" t="n"/>
    </row>
    <row r="63" ht="24" customHeight="1">
      <c r="A63" s="57" t="n"/>
      <c r="B63" s="57" t="n"/>
      <c r="C63" s="57" t="n"/>
      <c r="D63" s="57" t="n"/>
      <c r="E63" s="57" t="n"/>
      <c r="F63" s="57" t="n"/>
      <c r="G63" s="57" t="n"/>
      <c r="H63" s="57" t="n"/>
      <c r="I63" s="57" t="n"/>
      <c r="J63" s="57" t="n"/>
    </row>
    <row r="64" ht="24" customHeight="1"/>
    <row r="65" ht="24" customHeight="1"/>
    <row r="66" ht="24" customHeight="1"/>
    <row r="67" ht="24" customHeight="1"/>
    <row r="68" ht="24" customHeight="1"/>
  </sheetData>
  <mergeCells count="2">
    <mergeCell ref="A1:J1"/>
    <mergeCell ref="A22:E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3" topLeftCell="A13" activePane="bottomLeft" state="frozen"/>
      <selection pane="bottomLeft" activeCell="C17" sqref="C17"/>
    </sheetView>
  </sheetViews>
  <sheetFormatPr baseColWidth="8" defaultRowHeight="15"/>
  <cols>
    <col width="52" customWidth="1" min="1" max="1"/>
    <col width="19" customWidth="1" min="2" max="2"/>
    <col width="24" customWidth="1" min="3" max="3"/>
    <col width="27" customWidth="1" min="4" max="4"/>
    <col width="94" customWidth="1" min="5" max="5"/>
    <col width="22" customWidth="1" min="6" max="6"/>
    <col width="66" customWidth="1" min="7" max="7"/>
    <col width="22" customWidth="1" min="8" max="10"/>
  </cols>
  <sheetData>
    <row r="1" ht="27.95" customHeight="1">
      <c r="A1" s="100" t="inlineStr">
        <is>
          <t>Задание 9. Стресс-тест ПАО «Татнефть», РСБУ 2025</t>
        </is>
      </c>
    </row>
    <row r="2" ht="2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2.1" customHeight="1">
      <c r="A3" s="5" t="inlineStr">
        <is>
          <t>Сценарные предпосылки</t>
        </is>
      </c>
      <c r="B3" s="5" t="inlineStr">
        <is>
          <t>Значение</t>
        </is>
      </c>
      <c r="H3" s="1" t="n"/>
      <c r="I3" s="1" t="n"/>
      <c r="J3" s="1" t="n"/>
    </row>
    <row r="4" ht="24" customHeight="1">
      <c r="A4" s="4" t="inlineStr">
        <is>
          <t>Цена реализации (изменение)</t>
        </is>
      </c>
      <c r="B4" s="47" t="n">
        <v>-0.1</v>
      </c>
      <c r="H4" s="2" t="n"/>
      <c r="I4" s="2" t="n"/>
      <c r="J4" s="2" t="n"/>
    </row>
    <row r="5" ht="24" customHeight="1">
      <c r="A5" s="4" t="inlineStr">
        <is>
          <t>Физический объем (изменение)</t>
        </is>
      </c>
      <c r="B5" s="47" t="n">
        <v>-0.05</v>
      </c>
      <c r="H5" s="2" t="n"/>
      <c r="I5" s="2" t="n"/>
      <c r="J5" s="2" t="n"/>
    </row>
    <row r="6" ht="24" customHeight="1">
      <c r="A6" s="4" t="inlineStr">
        <is>
          <t>Удельная себестоимость (изменение)</t>
        </is>
      </c>
      <c r="B6" s="47" t="n">
        <v>0.07000000000000001</v>
      </c>
      <c r="H6" s="2" t="n"/>
      <c r="I6" s="2" t="n"/>
      <c r="J6" s="2" t="n"/>
    </row>
    <row r="7" ht="24" customHeight="1">
      <c r="A7" s="2" t="n"/>
      <c r="B7" s="2" t="n"/>
      <c r="H7" s="2" t="n"/>
      <c r="I7" s="2" t="n"/>
      <c r="J7" s="2" t="n"/>
    </row>
    <row r="8" ht="24" customHeight="1">
      <c r="A8" s="5" t="inlineStr">
        <is>
          <t>Показатель</t>
        </is>
      </c>
      <c r="B8" s="5" t="inlineStr">
        <is>
          <t>База: 2025</t>
        </is>
      </c>
      <c r="C8" s="5" t="inlineStr">
        <is>
          <t>Стресс</t>
        </is>
      </c>
      <c r="D8" s="5" t="inlineStr">
        <is>
          <t>Изменение</t>
        </is>
      </c>
      <c r="E8" s="5" t="inlineStr">
        <is>
          <t>Оценка риска</t>
        </is>
      </c>
      <c r="H8" s="2" t="n"/>
      <c r="I8" s="2" t="n"/>
      <c r="J8" s="2" t="n"/>
    </row>
    <row r="9" ht="80.09999999999999" customHeight="1">
      <c r="A9" s="27" t="inlineStr">
        <is>
          <t>Объем, индекс 2025=100</t>
        </is>
      </c>
      <c r="B9" s="70">
        <f>'1 Исходные данные'!C4/'1 Исходные данные'!C4*100</f>
        <v/>
      </c>
      <c r="C9" s="101">
        <f>B9*(1+$B$5)</f>
        <v/>
      </c>
      <c r="D9" s="101">
        <f>C9-B9</f>
        <v/>
      </c>
      <c r="E9" s="27" t="inlineStr">
        <is>
          <t>−5 индексных пунктов. НЕДОЗАГРУЗКА: поддерживающие ремонты, промбезопасность и часть производственных расходов не сокращаются пропорционально добыче.</t>
        </is>
      </c>
      <c r="H9" s="2" t="n"/>
      <c r="I9" s="2" t="n"/>
      <c r="J9" s="2" t="n"/>
    </row>
    <row r="10" ht="80.09999999999999" customHeight="1">
      <c r="A10" s="22" t="inlineStr">
        <is>
          <t>Средняя цена, индекс 2025=100</t>
        </is>
      </c>
      <c r="B10" s="102">
        <f>'1 Исходные данные'!C4/'1 Исходные данные'!C4*100</f>
        <v/>
      </c>
      <c r="C10" s="103">
        <f>B10*(1+$B$4)</f>
        <v/>
      </c>
      <c r="D10" s="103">
        <f>C10-B10</f>
        <v/>
      </c>
      <c r="E10" s="22" t="inlineStr">
        <is>
          <t>−10 индексных пунктов. ЦЕНОВОЙ РИСК: котировки нефти и нефтепродуктов, курс рубля, экспортные условия и перерабатывающий спред; индекс, не фактическая средняя цена.</t>
        </is>
      </c>
      <c r="H10" s="2" t="n"/>
      <c r="I10" s="2" t="n"/>
      <c r="J10" s="2" t="n"/>
    </row>
    <row r="11" ht="80.09999999999999" customHeight="1">
      <c r="A11" s="27" t="inlineStr">
        <is>
          <t>Выручка, млн руб.</t>
        </is>
      </c>
      <c r="B11" s="70">
        <f>'1 Исходные данные'!C4</f>
        <v/>
      </c>
      <c r="C11" s="101">
        <f>B11*(C9/B9)*(C10/B10)</f>
        <v/>
      </c>
      <c r="D11" s="101">
        <f>C11-B11</f>
        <v/>
      </c>
      <c r="E11" s="27" t="inlineStr">
        <is>
          <t>−200 087,880 млн руб. (−14,5%). ВЫСОКИЙ: сочетание объема −5% и цены −10%; снижение выручки нефтяного бизнеса давит на валовую маржу.</t>
        </is>
      </c>
      <c r="H11" s="2" t="n"/>
      <c r="I11" s="2" t="n"/>
      <c r="J11" s="2" t="n"/>
    </row>
    <row r="12" ht="80.09999999999999" customHeight="1">
      <c r="A12" s="22" t="inlineStr">
        <is>
          <t>Себестоимость, млн руб.</t>
        </is>
      </c>
      <c r="B12" s="102">
        <f>'1 Исходные данные'!C5</f>
        <v/>
      </c>
      <c r="C12" s="103">
        <f>B12*(C9/B9)*(1+$B$6)</f>
        <v/>
      </c>
      <c r="D12" s="103">
        <f>C12-B12</f>
        <v/>
      </c>
      <c r="E12" s="22" t="inlineStr">
        <is>
          <t>+17 264,582 млн руб. (+1,65%) при Q −5% и удельных затратах +7%. ВЫСОКИЙ: энергия, реагенты, обслуживание оборудования и технологические ограничения.</t>
        </is>
      </c>
      <c r="H12" s="2" t="n"/>
      <c r="I12" s="2" t="n"/>
      <c r="J12" s="2" t="n"/>
    </row>
    <row r="13" ht="80.09999999999999" customHeight="1">
      <c r="A13" s="27" t="inlineStr">
        <is>
          <t>Валовая прибыль, млн руб.</t>
        </is>
      </c>
      <c r="B13" s="70">
        <f>'1 Исходные данные'!C6</f>
        <v/>
      </c>
      <c r="C13" s="101">
        <f>C11-C12</f>
        <v/>
      </c>
      <c r="D13" s="101">
        <f>C13-B13</f>
        <v/>
      </c>
      <c r="E13" s="27" t="inlineStr">
        <is>
          <t>−217 352,462 млн руб. (−65,2%); валовая маржа 24,17% → 9,85%, −14,32 п. п. КРИТИЧЕСКИЙ: малый запас на производственные и логистические шоки.</t>
        </is>
      </c>
      <c r="H13" s="2" t="n"/>
      <c r="I13" s="2" t="n"/>
      <c r="J13" s="2" t="n"/>
    </row>
    <row r="14" ht="80.09999999999999" customHeight="1">
      <c r="A14" s="48" t="inlineStr">
        <is>
          <t>EBITDA, млн руб.</t>
        </is>
      </c>
      <c r="B14" s="102">
        <f>'1 Исходные данные'!C9+'1 Исходные данные'!C12</f>
        <v/>
      </c>
      <c r="C14" s="103">
        <f>C13-'1 Исходные данные'!C7-'1 Исходные данные'!C8+'1 Исходные данные'!C12</f>
        <v/>
      </c>
      <c r="D14" s="103">
        <f>C14-B14</f>
        <v/>
      </c>
      <c r="E14" s="22" t="inlineStr">
        <is>
          <t>−217 352,462 млн руб. (−82,5%); EBITDA* margin 19,10% → 3,92%. КРИТИЧЕСКИЙ: покрытие поддерживающих капиталовложений ухудшается.</t>
        </is>
      </c>
      <c r="H14" s="2" t="n"/>
      <c r="I14" s="2" t="n"/>
      <c r="J14" s="2" t="n"/>
    </row>
    <row r="15" ht="80.09999999999999" customHeight="1">
      <c r="A15" s="43" t="inlineStr">
        <is>
          <t xml:space="preserve">Чистая прибыль, млн руб. </t>
        </is>
      </c>
      <c r="B15" s="70">
        <f>'1 Исходные данные'!C11</f>
        <v/>
      </c>
      <c r="C15" s="101">
        <f>C19-C20+C21</f>
        <v/>
      </c>
      <c r="D15" s="101">
        <f>C15-B15</f>
        <v/>
      </c>
      <c r="E15" s="27" t="inlineStr">
        <is>
          <t>При допущении нулевого расхода по налогу результат −27 445,449 млн руб. (вместо прибыли 145 844,143). КРИТИЧЕСКИЙ: резервы, убыток и ограничение финансирования.</t>
        </is>
      </c>
      <c r="H15" s="2" t="n"/>
      <c r="I15" s="2" t="n"/>
      <c r="J15" s="2" t="n"/>
    </row>
    <row r="16" ht="80.09999999999999" customHeight="1">
      <c r="A16" s="22" t="inlineStr">
        <is>
          <t>Денежные капитальные платежи 4221 + 4125</t>
        </is>
      </c>
      <c r="B16" s="102">
        <f>'1 Исходные данные'!C14+'1 Исходные данные'!C15</f>
        <v/>
      </c>
      <c r="C16" s="103">
        <f>B16</f>
        <v/>
      </c>
      <c r="D16" s="103">
        <f>C16-B16</f>
        <v/>
      </c>
      <c r="E16" s="22" t="inlineStr">
        <is>
          <t>98 872,854 млн руб. без изменения, в 2,14 раза выше стрессовой EBITDA*. ВЫСОКИЙ: плановой CAPEX нет; нельзя отменять промбезопасность, ремонты и рекультивацию.</t>
        </is>
      </c>
      <c r="F16" s="2" t="n"/>
      <c r="G16" s="2" t="n"/>
      <c r="H16" s="2" t="n"/>
      <c r="I16" s="2" t="n"/>
      <c r="J16" s="2" t="n"/>
    </row>
    <row r="17" ht="27" customHeight="1">
      <c r="F17" s="2" t="n"/>
      <c r="G17" s="2" t="n"/>
      <c r="H17" s="2" t="n"/>
      <c r="I17" s="2" t="n"/>
      <c r="J17" s="2" t="n"/>
    </row>
    <row r="18" ht="28" customHeight="1">
      <c r="A18" s="76" t="inlineStr">
        <is>
          <t>Мостик к чистой прибыли. Коммерческие, управленческие и строки 2310–2350 не двигаю. Это допущение сценария.</t>
        </is>
      </c>
      <c r="F18" s="2" t="n"/>
      <c r="G18" s="2" t="n"/>
      <c r="H18" s="2" t="n"/>
      <c r="I18" s="2" t="n"/>
      <c r="J18" s="2" t="n"/>
    </row>
    <row r="19" ht="36" customHeight="1">
      <c r="A19" s="98" t="inlineStr">
        <is>
          <t>Прибыль до налогообложения</t>
        </is>
      </c>
      <c r="B19" s="104">
        <f>'1 Исходные данные'!C10</f>
        <v/>
      </c>
      <c r="C19" s="104">
        <f>B19+(C13-B13)</f>
        <v/>
      </c>
      <c r="D19" s="104">
        <f>C19-B19</f>
        <v/>
      </c>
      <c r="E19" s="98" t="inlineStr">
        <is>
          <t>Сдвиг равен изменению валовой прибыли: коммерческие и управленческие зафиксированы.</t>
        </is>
      </c>
      <c r="F19" s="2" t="n"/>
      <c r="G19" s="2" t="n"/>
      <c r="H19" s="2" t="n"/>
      <c r="I19" s="2" t="n"/>
      <c r="J19" s="2" t="n"/>
    </row>
    <row r="20" ht="36" customHeight="1">
      <c r="A20" s="98" t="inlineStr">
        <is>
          <t>Условный расход по налогу (0, если до налога убыток; иначе расход 2025 без пересчета ставки)</t>
        </is>
      </c>
      <c r="B20" s="104">
        <f>'1 Исходные данные'!C21</f>
        <v/>
      </c>
      <c r="C20" s="104">
        <f>IF(C19&lt;=0,0,B20)</f>
        <v/>
      </c>
      <c r="D20" s="104">
        <f>C20-B20</f>
        <v/>
      </c>
      <c r="E20" s="98" t="inlineStr">
        <is>
          <t>Основной сценарий. На убыток до налога расход 2025 не навешиваю.</t>
        </is>
      </c>
      <c r="F20" s="2" t="n"/>
      <c r="G20" s="2" t="n"/>
      <c r="H20" s="2" t="n"/>
      <c r="I20" s="2" t="n"/>
      <c r="J20" s="2" t="n"/>
    </row>
    <row r="21" ht="36" customHeight="1">
      <c r="A21" s="98" t="inlineStr">
        <is>
          <t>Строка 2460, без изменения</t>
        </is>
      </c>
      <c r="B21" s="104">
        <f>'1 Исходные данные'!C22</f>
        <v/>
      </c>
      <c r="C21" s="104">
        <f>B21</f>
        <v/>
      </c>
      <c r="D21" s="104">
        <f>C21-B21</f>
        <v/>
      </c>
      <c r="E21" s="98" t="inlineStr">
        <is>
          <t>Состав строки не расшифрован, поэтому не обнуляю.</t>
        </is>
      </c>
      <c r="F21" s="2" t="n"/>
      <c r="G21" s="2" t="n"/>
      <c r="H21" s="2" t="n"/>
      <c r="I21" s="2" t="n"/>
      <c r="J21" s="2" t="n"/>
    </row>
    <row r="22" ht="36" customHeight="1">
      <c r="A22" s="98" t="inlineStr">
        <is>
          <t>Альтернатива: чистая прибыль, если налог 2025 не обнулять</t>
        </is>
      </c>
      <c r="B22" s="104">
        <f>'1 Исходные данные'!C11</f>
        <v/>
      </c>
      <c r="C22" s="104">
        <f>C19-B20+C21</f>
        <v/>
      </c>
      <c r="D22" s="104">
        <f>C22-B22</f>
        <v/>
      </c>
      <c r="E22" s="98" t="inlineStr">
        <is>
          <t>Это число из ответа ИИ (−71 508). Оно не основной сценарий.</t>
        </is>
      </c>
      <c r="F22" s="2" t="n"/>
      <c r="G22" s="2" t="n"/>
      <c r="H22" s="2" t="n"/>
      <c r="I22" s="2" t="n"/>
      <c r="J22" s="2" t="n"/>
    </row>
    <row r="23" ht="36" customHeight="1">
      <c r="A23" s="98" t="inlineStr">
        <is>
          <t>Валовая маржа, %</t>
        </is>
      </c>
      <c r="B23" s="105">
        <f>IF(B11=0,"—",B13/B11*100)</f>
        <v/>
      </c>
      <c r="C23" s="105">
        <f>IF(C11=0,"—",C13/C11*100)</f>
        <v/>
      </c>
      <c r="D23" s="105">
        <f>C23-B23</f>
        <v/>
      </c>
      <c r="E23" s="98" t="inlineStr">
        <is>
          <t>Считается из выручки и валовой прибыли стресса, не вручную.</t>
        </is>
      </c>
      <c r="F23" s="2" t="n"/>
      <c r="G23" s="2" t="n"/>
      <c r="H23" s="2" t="n"/>
      <c r="I23" s="2" t="n"/>
      <c r="J23" s="2" t="n"/>
    </row>
    <row r="24" ht="36" customHeight="1">
      <c r="A24" s="98" t="inlineStr">
        <is>
          <t>EBITDA* margin, %</t>
        </is>
      </c>
      <c r="B24" s="105">
        <f>IF(B11=0,"—",B14/B11*100)</f>
        <v/>
      </c>
      <c r="C24" s="105">
        <f>IF(C11=0,"—",C14/C11*100)</f>
        <v/>
      </c>
      <c r="D24" s="105">
        <f>C24-B24</f>
        <v/>
      </c>
      <c r="E24" s="98" t="inlineStr">
        <is>
          <t>Та же логика.</t>
        </is>
      </c>
      <c r="F24" s="2" t="n"/>
      <c r="G24" s="2" t="n"/>
      <c r="H24" s="2" t="n"/>
      <c r="I24" s="2" t="n"/>
      <c r="J24" s="2" t="n"/>
    </row>
    <row r="25" ht="36" customHeight="1">
      <c r="A25" s="98" t="inlineStr">
        <is>
          <t>Денежные капвложения / EBITDA*, %</t>
        </is>
      </c>
      <c r="B25" s="105">
        <f>IF(B14=0,"—",B16/B14*100)</f>
        <v/>
      </c>
      <c r="C25" s="105">
        <f>IF(C14=0,"—",C16/C14*100)</f>
        <v/>
      </c>
      <c r="D25" s="105">
        <f>C25-B25</f>
        <v/>
      </c>
      <c r="E25" s="98" t="inlineStr">
        <is>
          <t>На это ссылается индикатор по капвложениям ниже.</t>
        </is>
      </c>
      <c r="F25" s="2" t="n"/>
      <c r="G25" s="2" t="n"/>
      <c r="H25" s="2" t="n"/>
      <c r="I25" s="2" t="n"/>
      <c r="J25" s="2" t="n"/>
    </row>
    <row r="26" ht="66.95" customHeight="1">
      <c r="F26" s="2" t="n"/>
      <c r="G26" s="2" t="n"/>
      <c r="H26" s="2" t="n"/>
      <c r="I26" s="2" t="n"/>
      <c r="J26" s="2" t="n"/>
    </row>
    <row r="27" ht="66.95" customHeight="1">
      <c r="F27" s="2" t="n"/>
      <c r="G27" s="2" t="n"/>
      <c r="H27" s="2" t="n"/>
      <c r="I27" s="2" t="n"/>
      <c r="J27" s="2" t="n"/>
    </row>
    <row r="28" ht="66.95" customHeight="1">
      <c r="F28" s="2" t="n"/>
      <c r="G28" s="2" t="n"/>
      <c r="H28" s="2" t="n"/>
      <c r="I28" s="2" t="n"/>
      <c r="J28" s="2" t="n"/>
    </row>
    <row r="29" ht="24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 ht="24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 ht="27" customHeight="1">
      <c r="A31" s="95" t="inlineStr">
        <is>
          <t>Реестр рисков ТЭК: подтверждения, последствия, ответ</t>
        </is>
      </c>
      <c r="F31" s="2" t="n"/>
      <c r="G31" s="2" t="n"/>
      <c r="H31" s="2" t="n"/>
      <c r="I31" s="2" t="n"/>
      <c r="J31" s="2" t="n"/>
    </row>
    <row r="32" ht="24" customHeight="1">
      <c r="A32" s="24" t="inlineStr">
        <is>
          <t>Риск / сегмент</t>
        </is>
      </c>
      <c r="B32" s="24" t="inlineStr">
        <is>
          <t>Оценка</t>
        </is>
      </c>
      <c r="C32" s="24" t="inlineStr">
        <is>
          <t>Подтверждённый индикатор</t>
        </is>
      </c>
      <c r="D32" s="24" t="inlineStr">
        <is>
          <t>Потенциальное последствие</t>
        </is>
      </c>
      <c r="E32" s="24" t="inlineStr">
        <is>
          <t>Действие без ущерба безопасности</t>
        </is>
      </c>
      <c r="F32" s="2" t="n"/>
      <c r="G32" s="2" t="n"/>
      <c r="H32" s="2" t="n"/>
      <c r="I32" s="2" t="n"/>
      <c r="J32" s="2" t="n"/>
    </row>
    <row r="33" ht="93" customHeight="1">
      <c r="A33" s="30" t="inlineStr">
        <is>
          <t>Реализация собственной нефти</t>
        </is>
      </c>
      <c r="B33" s="30" t="inlineStr">
        <is>
          <t>Высокий</t>
        </is>
      </c>
      <c r="C33" s="45">
        <f>'1 Исходные данные'!C24-'1 Исходные данные'!B24</f>
        <v/>
      </c>
      <c r="D33" s="30" t="inlineStr">
        <is>
          <t>Снижение нефтяной выручки на 162 286,909 млн руб. — 88,3% совокупного падения. Нельзя объяснять всё сокращением добычи.</t>
        </is>
      </c>
      <c r="E33" s="30" t="inlineStr">
        <is>
          <t>Контроль валютной и ценовой чувствительности, условий реализации, продаж по направлениям; запросить физический объем.</t>
        </is>
      </c>
      <c r="F33" s="2" t="n"/>
      <c r="G33" s="2" t="n"/>
      <c r="H33" s="2" t="n"/>
      <c r="I33" s="2" t="n"/>
      <c r="J33" s="2" t="n"/>
    </row>
    <row r="34" ht="93" customHeight="1">
      <c r="A34" s="24" t="inlineStr">
        <is>
          <t>Нефтепродукты/нефтехимия</t>
        </is>
      </c>
      <c r="B34" s="24" t="inlineStr">
        <is>
          <t>Высокий</t>
        </is>
      </c>
      <c r="C34" s="46">
        <f>'1 Исходные данные'!C23-'1 Исходные данные'!B23</f>
        <v/>
      </c>
      <c r="D34" s="24" t="inlineStr">
        <is>
          <t>Выручка по сегменту меньше на 26 167,960 млн руб.: давление на продуктовую/перерабатывающую маржу.</t>
        </is>
      </c>
      <c r="E34" s="24" t="inlineStr">
        <is>
          <t>Оптимизировать выпуск продукции и энергопотребление с учетом ограничений технологического режима и качества.</t>
        </is>
      </c>
      <c r="F34" s="2" t="n"/>
      <c r="G34" s="2" t="n"/>
      <c r="H34" s="2" t="n"/>
      <c r="I34" s="2" t="n"/>
      <c r="J34" s="2" t="n"/>
    </row>
    <row r="35" ht="93" customHeight="1">
      <c r="A35" s="30" t="inlineStr">
        <is>
          <t>Экспорт, курс, котировки</t>
        </is>
      </c>
      <c r="B35" s="30" t="inlineStr">
        <is>
          <t>Нужна детализация</t>
        </is>
      </c>
      <c r="C35" s="45" t="n"/>
      <c r="D35" s="30" t="inlineStr">
        <is>
          <t>Валютную/ценовую часть изменения выручки нельзя выделить из агрегированного РСБУ; иная география торговли меняет стоимость логистики.</t>
        </is>
      </c>
      <c r="E35" s="30" t="inlineStr">
        <is>
          <t>Запросить контрактные цены, валюты расчетов, хеджирование, доли экспорта; не приписывать конкретный эффект без данных.</t>
        </is>
      </c>
      <c r="F35" s="2" t="n"/>
      <c r="G35" s="2" t="n"/>
      <c r="H35" s="2" t="n"/>
      <c r="I35" s="2" t="n"/>
      <c r="J35" s="2" t="n"/>
    </row>
    <row r="36" ht="93" customHeight="1">
      <c r="A36" s="24" t="inlineStr">
        <is>
          <t>Налоги / акцизы / НДПИ</t>
        </is>
      </c>
      <c r="B36" s="24" t="inlineStr">
        <is>
          <t>Высокий</t>
        </is>
      </c>
      <c r="C36" s="46">
        <f>'1 Исходные данные'!C21</f>
        <v/>
      </c>
      <c r="D36" s="24" t="inlineStr">
        <is>
          <t>Расход по налогу на прибыль 44 062,870 млн руб.; НДПИ и акцизы относятся к другой налоговой базе и НЕ равны этой строке.</t>
        </is>
      </c>
      <c r="E36" s="24" t="inlineStr">
        <is>
          <t>Отдельно моделировать налоги на добычу, переработку и финансовый результат; не применять к убытку неизменный налог механически.</t>
        </is>
      </c>
      <c r="F36" s="2" t="n"/>
      <c r="G36" s="2" t="n"/>
      <c r="H36" s="2" t="n"/>
      <c r="I36" s="2" t="n"/>
      <c r="J36" s="2" t="n"/>
    </row>
    <row r="37" ht="93" customHeight="1">
      <c r="A37" s="30" t="inlineStr">
        <is>
          <t>Капвложения и обновление</t>
        </is>
      </c>
      <c r="B37" s="30" t="inlineStr">
        <is>
          <t>Высокий</t>
        </is>
      </c>
      <c r="C37" s="45">
        <f>'9 Сценарный анализ'!C25</f>
        <v/>
      </c>
      <c r="D37" s="30" t="inlineStr">
        <is>
          <t>Денежный CAPEX при стрессе составил бы 213,9% EBITDA*; высока угроза приостановки расширений при сохранении обязательных работ.</t>
        </is>
      </c>
      <c r="E37" s="30" t="inlineStr">
        <is>
          <t>Разделить поддерживающий и расширяющий CAPEX; первыми защищать безопасность, ремонт скважин и экологию.</t>
        </is>
      </c>
      <c r="F37" s="2" t="n"/>
      <c r="G37" s="2" t="n"/>
      <c r="H37" s="2" t="n"/>
      <c r="I37" s="2" t="n"/>
      <c r="J37" s="2" t="n"/>
    </row>
    <row r="38" ht="93" customHeight="1">
      <c r="A38" s="24" t="inlineStr">
        <is>
          <t>Рекультивация и вывод скважин</t>
        </is>
      </c>
      <c r="B38" s="24" t="inlineStr">
        <is>
          <t>Высокий</t>
        </is>
      </c>
      <c r="C38" s="106">
        <f>'1 Исходные данные'!C54-'1 Исходные данные'!B54</f>
        <v/>
      </c>
      <c r="D38" s="24" t="inlineStr">
        <is>
          <t>Обязательство по ликвидации и восстановлению выросло на 6 355,279 млн руб. (пояснение 19). В тексте пояснения причина в основном — снижение ставки дисконтирования. При стрессе цены оно не исчезает.</t>
        </is>
      </c>
      <c r="E38" s="24" t="inlineStr">
        <is>
          <t>Проверить резервы на ликвидацию объектов и рекультивацию, график будущих выплат и ставки дисконтирования.</t>
        </is>
      </c>
      <c r="F38" s="2" t="n"/>
      <c r="G38" s="2" t="n"/>
      <c r="H38" s="2" t="n"/>
      <c r="I38" s="2" t="n"/>
      <c r="J38" s="2" t="n"/>
    </row>
    <row r="39" ht="93" customHeight="1">
      <c r="A39" s="30" t="inlineStr">
        <is>
          <t>Ремонт и непрерывность добычи</t>
        </is>
      </c>
      <c r="B39" s="30" t="inlineStr">
        <is>
          <t>Высокий</t>
        </is>
      </c>
      <c r="C39" s="45" t="n"/>
      <c r="D39" s="30" t="inlineStr">
        <is>
          <t>Сокращение объема не уменьшает расходы на промбезопасность пропорционально: простой/авария способны усилить потери и экологический ущерб.</t>
        </is>
      </c>
      <c r="E39" s="30" t="inlineStr">
        <is>
          <t>Ограничения на сокращение регламентного ремонта и контроля; повышать энергоэффективность технологическими мерами.</t>
        </is>
      </c>
      <c r="F39" s="2" t="n"/>
      <c r="G39" s="2" t="n"/>
      <c r="H39" s="2" t="n"/>
      <c r="I39" s="2" t="n"/>
      <c r="J39" s="2" t="n"/>
    </row>
    <row r="40" ht="93" customHeight="1">
      <c r="A40" s="24" t="inlineStr">
        <is>
          <t>Ликвидность и платежи</t>
        </is>
      </c>
      <c r="B40" s="24" t="inlineStr">
        <is>
          <t>Высокий</t>
        </is>
      </c>
      <c r="C40" s="46">
        <f>'1 Исходные данные'!C37-'1 Исходные данные'!B37</f>
        <v/>
      </c>
      <c r="D40" s="24" t="inlineStr">
        <is>
          <t>Денежные средства на 31.12.2025 ниже на 33 006,933 млн руб.; при стресс-сценарии это сокращает резерв покрытия внезапных платежей.</t>
        </is>
      </c>
      <c r="E40" s="24" t="inlineStr">
        <is>
          <t>Платежный календарь, кредитные лимиты и оборотный капитал; не делать вывод о денежных потоках лишь из EBITDA*.</t>
        </is>
      </c>
      <c r="F40" s="2" t="n"/>
      <c r="G40" s="2" t="n"/>
      <c r="H40" s="2" t="n"/>
      <c r="I40" s="2" t="n"/>
      <c r="J40" s="2" t="n"/>
    </row>
    <row r="41" ht="93" customHeight="1">
      <c r="A41" s="30" t="inlineStr">
        <is>
          <t>Прочие расходы и неденежные эффекты</t>
        </is>
      </c>
      <c r="B41" s="30" t="inlineStr">
        <is>
          <t>Высокий</t>
        </is>
      </c>
      <c r="C41" s="45">
        <f>'1 Исходные данные'!C20-'1 Исходные данные'!B20</f>
        <v/>
      </c>
      <c r="D41" s="30" t="inlineStr">
        <is>
          <t>Прочие расходы выросли на 127 934,059 млн руб.; нужна детализация курсовых/оценочных/разовых статей для причинного вывода.</t>
        </is>
      </c>
      <c r="E41" s="30" t="inlineStr">
        <is>
          <t>Расшифровать примечание 14 и отделить денежные/неденежные статьи от устойчивого операционного результата.</t>
        </is>
      </c>
      <c r="F41" s="2" t="n"/>
      <c r="G41" s="2" t="n"/>
      <c r="H41" s="2" t="n"/>
      <c r="I41" s="2" t="n"/>
      <c r="J41" s="2" t="n"/>
    </row>
    <row r="42" ht="24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 ht="24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 ht="24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 ht="24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 ht="24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 ht="24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 ht="24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 ht="24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 ht="2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 ht="2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 ht="2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 ht="2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 ht="2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 ht="2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 ht="24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 ht="24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 ht="24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 ht="24" customHeight="1"/>
    <row r="60" ht="24" customHeight="1"/>
    <row r="61" ht="24" customHeight="1"/>
    <row r="62" ht="24" customHeight="1"/>
    <row r="63" ht="24" customHeight="1"/>
  </sheetData>
  <mergeCells count="3">
    <mergeCell ref="A1:J1"/>
    <mergeCell ref="A18:E18"/>
    <mergeCell ref="A31:E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stud10</dc:creator>
  <dcterms:created xmlns:dcterms="http://purl.org/dc/terms/" xmlns:xsi="http://www.w3.org/2001/XMLSchema-instance" xsi:type="dcterms:W3CDTF">2026-10-21T18:52:46Z</dcterms:created>
  <dcterms:modified xmlns:dcterms="http://purl.org/dc/terms/" xmlns:xsi="http://www.w3.org/2001/XMLSchema-instance" xsi:type="dcterms:W3CDTF">2026-10-28T06:51:52Z</dcterms:modified>
  <cp:lastModifiedBy>stud10</cp:lastModifiedBy>
</cp:coreProperties>
</file>